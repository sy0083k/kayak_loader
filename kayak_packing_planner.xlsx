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Default Extension="vml" ContentType="application/vnd.openxmlformats-officedocument.vmlDrawing"/>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카약_설정" sheetId="1" state="visible" r:id="rId1"/>
    <sheet name="장비_DB" sheetId="2" state="visible" r:id="rId2"/>
    <sheet name="적재_계획" sheetId="3" state="visible" r:id="rId3"/>
    <sheet name="대시보드" sheetId="4" state="visible" r:id="rId4"/>
  </sheets>
  <definedNames/>
  <calcPr calcId="124519" fullCalcOnLoad="1"/>
</workbook>
</file>

<file path=xl/styles.xml><?xml version="1.0" encoding="utf-8"?>
<styleSheet xmlns="http://schemas.openxmlformats.org/spreadsheetml/2006/main">
  <numFmts count="6">
    <numFmt numFmtId="164" formatCode="#,##0 &quot;g&quot;"/>
    <numFmt numFmtId="165" formatCode="0.0 &quot;L&quot;"/>
    <numFmt numFmtId="166" formatCode="0.0"/>
    <numFmt numFmtId="167" formatCode="0.00 &quot;kg&quot;"/>
    <numFmt numFmtId="168" formatCode="0.0 &quot;kg&quot;"/>
    <numFmt numFmtId="169" formatCode="0.0%"/>
  </numFmts>
  <fonts count="20">
    <font>
      <name val="Calibri"/>
      <family val="2"/>
      <color theme="1"/>
      <sz val="11"/>
      <scheme val="minor"/>
    </font>
    <font>
      <b val="1"/>
      <color rgb="00FFFFFF"/>
      <sz val="16"/>
    </font>
    <font>
      <b val="1"/>
      <color rgb="00FFFFFF"/>
      <sz val="11"/>
    </font>
    <font>
      <b val="1"/>
      <sz val="11"/>
    </font>
    <font>
      <i val="1"/>
      <color rgb="00888888"/>
      <sz val="10"/>
    </font>
    <font>
      <b val="1"/>
      <color rgb="00FFFFFF"/>
      <sz val="14"/>
    </font>
    <font>
      <i val="1"/>
      <color rgb="00444444"/>
      <sz val="9"/>
    </font>
    <font>
      <b val="1"/>
      <color rgb="00FFFFFF"/>
      <sz val="10"/>
    </font>
    <font>
      <b val="1"/>
      <color rgb="00FFFFFF"/>
      <sz val="13"/>
    </font>
    <font>
      <b val="1"/>
      <color rgb="00333333"/>
      <sz val="9"/>
    </font>
    <font>
      <b val="1"/>
      <sz val="10"/>
    </font>
    <font>
      <b val="1"/>
      <color rgb="00FFFFFF"/>
    </font>
    <font>
      <b val="1"/>
      <sz val="13"/>
    </font>
    <font>
      <b val="1"/>
    </font>
    <font>
      <b val="1"/>
      <color rgb="00FFFFFF"/>
      <sz val="20"/>
    </font>
    <font>
      <b val="1"/>
      <color rgb="00FFFFFF"/>
      <sz val="12"/>
    </font>
    <font>
      <b val="1"/>
      <color rgb="00FFFFFF"/>
      <sz val="9"/>
    </font>
    <font>
      <b val="1"/>
      <color rgb="00444444"/>
      <sz val="9"/>
    </font>
    <font>
      <b val="1"/>
      <sz val="14"/>
    </font>
    <font>
      <b val="1"/>
      <sz val="22"/>
    </font>
  </fonts>
  <fills count="27">
    <fill>
      <patternFill/>
    </fill>
    <fill>
      <patternFill patternType="gray125"/>
    </fill>
    <fill>
      <patternFill patternType="solid">
        <fgColor rgb="000D47A1"/>
      </patternFill>
    </fill>
    <fill>
      <patternFill patternType="solid">
        <fgColor rgb="001565C0"/>
      </patternFill>
    </fill>
    <fill>
      <patternFill patternType="solid">
        <fgColor rgb="00E65100"/>
      </patternFill>
    </fill>
    <fill>
      <patternFill patternType="solid">
        <fgColor rgb="00D9D9D9"/>
      </patternFill>
    </fill>
    <fill>
      <patternFill patternType="solid">
        <fgColor rgb="00FFFFE0"/>
      </patternFill>
    </fill>
    <fill>
      <patternFill patternType="solid">
        <fgColor rgb="00B3E5FC"/>
      </patternFill>
    </fill>
    <fill>
      <patternFill patternType="solid">
        <fgColor rgb="00FFE0B2"/>
      </patternFill>
    </fill>
    <fill>
      <patternFill patternType="solid">
        <fgColor rgb="00F3E5F5"/>
      </patternFill>
    </fill>
    <fill>
      <patternFill patternType="solid">
        <fgColor rgb="0000838F"/>
      </patternFill>
    </fill>
    <fill>
      <patternFill patternType="solid">
        <fgColor rgb="004DB6AC"/>
      </patternFill>
    </fill>
    <fill>
      <patternFill patternType="solid">
        <fgColor rgb="00FF8A65"/>
      </patternFill>
    </fill>
    <fill>
      <patternFill patternType="solid">
        <fgColor rgb="00DDEEFF"/>
      </patternFill>
    </fill>
    <fill>
      <patternFill patternType="solid">
        <fgColor rgb="00FFFFFF"/>
      </patternFill>
    </fill>
    <fill>
      <patternFill patternType="solid">
        <fgColor rgb="00F5F5F5"/>
      </patternFill>
    </fill>
    <fill>
      <patternFill patternType="solid">
        <fgColor rgb="00F0F4FF"/>
      </patternFill>
    </fill>
    <fill>
      <patternFill patternType="solid">
        <fgColor rgb="0037474F"/>
      </patternFill>
    </fill>
    <fill>
      <patternFill patternType="solid">
        <fgColor rgb="00E0F7FA"/>
      </patternFill>
    </fill>
    <fill>
      <patternFill patternType="solid">
        <fgColor rgb="00FFF3E0"/>
      </patternFill>
    </fill>
    <fill>
      <patternFill patternType="solid">
        <fgColor rgb="00E8F5E9"/>
      </patternFill>
    </fill>
    <fill>
      <patternFill patternType="solid">
        <fgColor rgb="00FFF9C4"/>
      </patternFill>
    </fill>
    <fill>
      <patternFill patternType="solid">
        <fgColor rgb="00ECEFF1"/>
      </patternFill>
    </fill>
    <fill>
      <patternFill patternType="solid">
        <fgColor rgb="00E3F2FD"/>
      </patternFill>
    </fill>
    <fill>
      <patternFill patternType="solid">
        <fgColor rgb="001A237E"/>
      </patternFill>
    </fill>
    <fill>
      <patternFill patternType="solid">
        <fgColor rgb="00455A64"/>
      </patternFill>
    </fill>
    <fill>
      <patternFill patternType="solid">
        <fgColor rgb="00CFD8DC"/>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5" borderId="1" applyAlignment="1" pivotButton="0" quotePrefix="0" xfId="0">
      <alignment vertical="center"/>
    </xf>
    <xf numFmtId="0" fontId="0" fillId="6" borderId="1" applyAlignment="1" pivotButton="0" quotePrefix="0" xfId="0">
      <alignment horizontal="left" vertical="center"/>
    </xf>
    <xf numFmtId="0" fontId="4" fillId="0" borderId="0" applyAlignment="1" pivotButton="0" quotePrefix="0" xfId="0">
      <alignment vertical="center"/>
    </xf>
    <xf numFmtId="0" fontId="3" fillId="7" borderId="1" applyAlignment="1" pivotButton="0" quotePrefix="0" xfId="0">
      <alignment vertical="center"/>
    </xf>
    <xf numFmtId="0" fontId="3" fillId="8" borderId="1" applyAlignment="1" pivotButton="0" quotePrefix="0" xfId="0">
      <alignment vertical="center"/>
    </xf>
    <xf numFmtId="0" fontId="3" fillId="9" borderId="1" applyAlignment="1" pivotButton="0" quotePrefix="0" xfId="0">
      <alignment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2" borderId="1" applyAlignment="1" pivotButton="0" quotePrefix="0" xfId="0">
      <alignment horizontal="center" vertical="center"/>
    </xf>
    <xf numFmtId="0" fontId="0" fillId="13" borderId="1" applyAlignment="1" pivotButton="0" quotePrefix="0" xfId="0">
      <alignment horizontal="center" vertical="center"/>
    </xf>
    <xf numFmtId="0" fontId="0" fillId="13" borderId="1" applyAlignment="1" pivotButton="0" quotePrefix="0" xfId="0">
      <alignment horizontal="left" vertical="center"/>
    </xf>
    <xf numFmtId="164" fontId="0" fillId="13" borderId="1" applyAlignment="1" pivotButton="0" quotePrefix="0" xfId="0">
      <alignment horizontal="left" vertical="center"/>
    </xf>
    <xf numFmtId="165" fontId="0" fillId="13" borderId="1" applyAlignment="1" pivotButton="0" quotePrefix="0" xfId="0">
      <alignment horizontal="left" vertical="center"/>
    </xf>
    <xf numFmtId="0" fontId="0" fillId="6" borderId="1" applyAlignment="1" pivotButton="0" quotePrefix="0" xfId="0">
      <alignment horizontal="center" vertical="center"/>
    </xf>
    <xf numFmtId="0" fontId="0" fillId="14" borderId="1" applyAlignment="1" pivotButton="0" quotePrefix="0" xfId="0">
      <alignment horizontal="center" vertical="center"/>
    </xf>
    <xf numFmtId="0" fontId="0" fillId="14" borderId="1" applyAlignment="1" pivotButton="0" quotePrefix="0" xfId="0">
      <alignment horizontal="left" vertical="center"/>
    </xf>
    <xf numFmtId="164" fontId="0" fillId="14" borderId="1" applyAlignment="1" pivotButton="0" quotePrefix="0" xfId="0">
      <alignment horizontal="left" vertical="center"/>
    </xf>
    <xf numFmtId="165" fontId="0" fillId="14" borderId="1" applyAlignment="1" pivotButton="0" quotePrefix="0" xfId="0">
      <alignment horizontal="left" vertical="center"/>
    </xf>
    <xf numFmtId="0" fontId="5" fillId="2" borderId="0" applyAlignment="1" pivotButton="0" quotePrefix="0" xfId="0">
      <alignment horizontal="center" vertical="center"/>
    </xf>
    <xf numFmtId="0" fontId="6" fillId="0" borderId="0" applyAlignment="1" pivotButton="0" quotePrefix="0" xfId="0">
      <alignment vertical="center"/>
    </xf>
    <xf numFmtId="0" fontId="7" fillId="3" borderId="1" applyAlignment="1" pivotButton="0" quotePrefix="0" xfId="0">
      <alignment horizontal="center" vertical="center"/>
    </xf>
    <xf numFmtId="0" fontId="0" fillId="15" borderId="1" applyAlignment="1" pivotButton="0" quotePrefix="0" xfId="0">
      <alignment horizontal="center" vertical="center"/>
    </xf>
    <xf numFmtId="0" fontId="0" fillId="0" borderId="1" applyAlignment="1" pivotButton="0" quotePrefix="0" xfId="0">
      <alignment vertical="center"/>
    </xf>
    <xf numFmtId="0" fontId="0" fillId="16" borderId="1" applyAlignment="1" pivotButton="0" quotePrefix="0" xfId="0">
      <alignment horizontal="center" vertical="center"/>
    </xf>
    <xf numFmtId="3" fontId="0" fillId="16" borderId="1" applyAlignment="1" pivotButton="0" quotePrefix="0" xfId="0">
      <alignment horizontal="right" vertical="center"/>
    </xf>
    <xf numFmtId="166" fontId="0" fillId="16" borderId="1" applyAlignment="1" pivotButton="0" quotePrefix="0" xfId="0">
      <alignment horizontal="right" vertical="center"/>
    </xf>
    <xf numFmtId="0" fontId="0" fillId="0" borderId="1" applyAlignment="1" pivotButton="0" quotePrefix="0" xfId="0">
      <alignment horizontal="center" vertical="center"/>
    </xf>
    <xf numFmtId="0" fontId="0" fillId="0" borderId="1" pivotButton="0" quotePrefix="0" xfId="0"/>
    <xf numFmtId="0" fontId="8" fillId="17" borderId="0" applyAlignment="1" pivotButton="0" quotePrefix="0" xfId="0">
      <alignment horizontal="center" vertical="center"/>
    </xf>
    <xf numFmtId="0" fontId="9" fillId="18" borderId="1" applyAlignment="1" pivotButton="0" quotePrefix="0" xfId="0">
      <alignment horizontal="center" vertical="center"/>
    </xf>
    <xf numFmtId="0" fontId="9" fillId="19" borderId="1" applyAlignment="1" pivotButton="0" quotePrefix="0" xfId="0">
      <alignment horizontal="center" vertical="center"/>
    </xf>
    <xf numFmtId="0" fontId="9" fillId="20" borderId="1" applyAlignment="1" pivotButton="0" quotePrefix="0" xfId="0">
      <alignment horizontal="center" vertical="center"/>
    </xf>
    <xf numFmtId="0" fontId="9" fillId="21" borderId="1" applyAlignment="1" pivotButton="0" quotePrefix="0" xfId="0">
      <alignment horizontal="center" vertical="center"/>
    </xf>
    <xf numFmtId="0" fontId="10" fillId="22" borderId="1" applyAlignment="1" pivotButton="0" quotePrefix="0" xfId="0">
      <alignment vertical="center"/>
    </xf>
    <xf numFmtId="167" fontId="0" fillId="0" borderId="1" applyAlignment="1" pivotButton="0" quotePrefix="0" xfId="0">
      <alignment horizontal="right" vertical="center"/>
    </xf>
    <xf numFmtId="0" fontId="10" fillId="23" borderId="1" applyAlignment="1" pivotButton="0" quotePrefix="0" xfId="0">
      <alignment vertical="center"/>
    </xf>
    <xf numFmtId="168" fontId="0" fillId="0" borderId="1" applyAlignment="1" pivotButton="0" quotePrefix="0" xfId="0">
      <alignment horizontal="right" vertical="center"/>
    </xf>
    <xf numFmtId="169" fontId="0" fillId="0" borderId="1" applyAlignment="1" pivotButton="0" quotePrefix="0" xfId="0">
      <alignment horizontal="right" vertical="center"/>
    </xf>
    <xf numFmtId="0" fontId="10" fillId="20" borderId="1" applyAlignment="1" pivotButton="0" quotePrefix="0" xfId="0">
      <alignment vertical="center"/>
    </xf>
    <xf numFmtId="165" fontId="0" fillId="0" borderId="1" applyAlignment="1" pivotButton="0" quotePrefix="0" xfId="0">
      <alignment horizontal="right" vertical="center"/>
    </xf>
    <xf numFmtId="0" fontId="11" fillId="17" borderId="1" applyAlignment="1" pivotButton="0" quotePrefix="0" xfId="0">
      <alignment horizontal="center" vertical="center"/>
    </xf>
    <xf numFmtId="0" fontId="12" fillId="0" borderId="1" applyAlignment="1" pivotButton="0" quotePrefix="0" xfId="0">
      <alignment horizontal="center" vertical="center"/>
    </xf>
    <xf numFmtId="0" fontId="13" fillId="22" borderId="1" pivotButton="0" quotePrefix="0" xfId="0"/>
    <xf numFmtId="0" fontId="14" fillId="24" borderId="0" applyAlignment="1" pivotButton="0" quotePrefix="0" xfId="0">
      <alignment horizontal="center" vertical="center"/>
    </xf>
    <xf numFmtId="0" fontId="15" fillId="3" borderId="1" applyAlignment="1" pivotButton="0" quotePrefix="0" xfId="0">
      <alignment horizontal="center" vertical="center"/>
    </xf>
    <xf numFmtId="0" fontId="15" fillId="4" borderId="1" applyAlignment="1" pivotButton="0" quotePrefix="0" xfId="0">
      <alignment horizontal="center" vertical="center"/>
    </xf>
    <xf numFmtId="0" fontId="16" fillId="3" borderId="1" applyAlignment="1" pivotButton="0" quotePrefix="0" xfId="0">
      <alignment horizontal="center" vertical="center"/>
    </xf>
    <xf numFmtId="0" fontId="16" fillId="4" borderId="1" applyAlignment="1" pivotButton="0" quotePrefix="0" xfId="0">
      <alignment horizontal="center" vertical="center"/>
    </xf>
    <xf numFmtId="0" fontId="10" fillId="22" borderId="1" applyAlignment="1" pivotButton="0" quotePrefix="0" xfId="0">
      <alignment horizontal="center" vertical="center"/>
    </xf>
    <xf numFmtId="0" fontId="15" fillId="25" borderId="0" applyAlignment="1" pivotButton="0" quotePrefix="0" xfId="0">
      <alignment horizontal="center" vertical="center"/>
    </xf>
    <xf numFmtId="0" fontId="17" fillId="26" borderId="1" applyAlignment="1" pivotButton="0" quotePrefix="0" xfId="0">
      <alignment horizontal="center" vertical="center"/>
    </xf>
    <xf numFmtId="167" fontId="18" fillId="18" borderId="1" applyAlignment="1" pivotButton="0" quotePrefix="0" xfId="0">
      <alignment horizontal="center" vertical="center"/>
    </xf>
    <xf numFmtId="167" fontId="18" fillId="19" borderId="1" applyAlignment="1" pivotButton="0" quotePrefix="0" xfId="0">
      <alignment horizontal="center" vertical="center"/>
    </xf>
    <xf numFmtId="167" fontId="18" fillId="20" borderId="1" applyAlignment="1" pivotButton="0" quotePrefix="0" xfId="0">
      <alignment horizontal="center" vertical="center"/>
    </xf>
    <xf numFmtId="167" fontId="18" fillId="21" borderId="1" applyAlignment="1" pivotButton="0" quotePrefix="0" xfId="0">
      <alignment horizontal="center" vertical="center"/>
    </xf>
    <xf numFmtId="169" fontId="12" fillId="22" borderId="1" applyAlignment="1" pivotButton="0" quotePrefix="0" xfId="0">
      <alignment horizontal="center" vertical="center"/>
    </xf>
    <xf numFmtId="0" fontId="19" fillId="0" borderId="2" applyAlignment="1" pivotButton="0" quotePrefix="0" xfId="0">
      <alignment horizontal="center" vertical="center"/>
    </xf>
    <xf numFmtId="0" fontId="18" fillId="22" borderId="1" applyAlignment="1" pivotButton="0" quotePrefix="0" xfId="0">
      <alignment horizontal="center" vertical="center"/>
    </xf>
    <xf numFmtId="167" fontId="18" fillId="22" borderId="1" applyAlignment="1" pivotButton="0" quotePrefix="0" xfId="0">
      <alignment horizontal="center" vertical="center"/>
    </xf>
  </cellXfs>
  <cellStyles count="1">
    <cellStyle name="Normal" xfId="0" builtinId="0" hidden="0"/>
  </cellStyles>
  <dxfs count="9">
    <dxf>
      <fill>
        <patternFill patternType="solid">
          <fgColor rgb="00F5F5F5"/>
        </patternFill>
      </fill>
    </dxf>
    <dxf>
      <fill>
        <patternFill patternType="solid">
          <fgColor rgb="00FFF9C4"/>
        </patternFill>
      </fill>
    </dxf>
    <dxf>
      <fill>
        <patternFill patternType="solid">
          <fgColor rgb="00E8F5E9"/>
        </patternFill>
      </fill>
    </dxf>
    <dxf>
      <fill>
        <patternFill patternType="solid">
          <fgColor rgb="00FFF3E0"/>
        </patternFill>
      </fill>
    </dxf>
    <dxf>
      <fill>
        <patternFill patternType="solid">
          <fgColor rgb="00E0F7FA"/>
        </patternFill>
      </fill>
    </dxf>
    <dxf>
      <fill>
        <patternFill patternType="solid">
          <fgColor rgb="00FFE0E0"/>
        </patternFill>
      </fill>
    </dxf>
    <dxf>
      <fill>
        <patternFill patternType="solid">
          <fgColor rgb="00C8E6C9"/>
        </patternFill>
      </fill>
    </dxf>
    <dxf>
      <fill>
        <patternFill patternType="solid">
          <fgColor rgb="00FFE0B2"/>
        </patternFill>
      </fill>
    </dxf>
    <dxf>
      <fill>
        <patternFill patternType="solid">
          <f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선수 / 선미 중량 현황 (4그룹)</a:t>
            </a:r>
          </a:p>
        </rich>
      </tx>
    </title>
    <plotArea>
      <barChart>
        <barDir val="col"/>
        <grouping val="clustered"/>
        <ser>
          <idx val="0"/>
          <order val="0"/>
          <tx>
            <strRef>
              <f>'대시보드'!B20</f>
            </strRef>
          </tx>
          <spPr>
            <a:ln>
              <a:prstDash val="solid"/>
            </a:ln>
          </spPr>
          <cat>
            <numRef>
              <f>'대시보드'!$A$21:$A$22</f>
            </numRef>
          </cat>
          <val>
            <numRef>
              <f>'대시보드'!$B$21:$B$22</f>
            </numRef>
          </val>
        </ser>
        <ser>
          <idx val="1"/>
          <order val="1"/>
          <tx>
            <strRef>
              <f>'대시보드'!C20</f>
            </strRef>
          </tx>
          <spPr>
            <a:ln>
              <a:prstDash val="solid"/>
            </a:ln>
          </spPr>
          <cat>
            <numRef>
              <f>'대시보드'!$A$21:$A$22</f>
            </numRef>
          </cat>
          <val>
            <numRef>
              <f>'대시보드'!$C$21:$C$22</f>
            </numRef>
          </val>
        </ser>
        <ser>
          <idx val="2"/>
          <order val="2"/>
          <tx>
            <strRef>
              <f>'대시보드'!D20</f>
            </strRef>
          </tx>
          <spPr>
            <a:ln>
              <a:prstDash val="solid"/>
            </a:ln>
          </spPr>
          <cat>
            <numRef>
              <f>'대시보드'!$A$21:$A$22</f>
            </numRef>
          </cat>
          <val>
            <numRef>
              <f>'대시보드'!$D$21:$D$22</f>
            </numRef>
          </val>
        </ser>
        <ser>
          <idx val="3"/>
          <order val="3"/>
          <tx>
            <strRef>
              <f>'대시보드'!E20</f>
            </strRef>
          </tx>
          <spPr>
            <a:ln>
              <a:prstDash val="solid"/>
            </a:ln>
          </spPr>
          <cat>
            <numRef>
              <f>'대시보드'!$A$21:$A$22</f>
            </numRef>
          </cat>
          <val>
            <numRef>
              <f>'대시보드'!$E$21:$E$22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중량 (kg)</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18</row>
      <rowOff>0</rowOff>
    </from>
    <ext cx="864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
 <Relationship Id="rIdVmlDb1"
  Type="http://schemas.openxmlformats.org/officeDocument/2006/relationships/vmlDrawing"
  Target="../drawings/vmlDrawing_db.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565C0"/>
    <outlinePr summaryBelow="1" summaryRight="1"/>
    <pageSetUpPr/>
  </sheetPr>
  <dimension ref="A1:G11"/>
  <sheetViews>
    <sheetView showGridLines="1" workbookViewId="0">
      <pane ySplit="1" topLeftCell="A2" activePane="bottomLeft" state="frozen"/>
      <selection pane="bottomLeft" activeCell="A1" sqref="A1"/>
    </sheetView>
  </sheetViews>
  <sheetFormatPr baseColWidth="8" defaultRowHeight="15"/>
  <cols>
    <col width="4" customWidth="1" min="1" max="1"/>
    <col width="26" customWidth="1" min="2" max="2"/>
    <col width="18" customWidth="1" min="3" max="3"/>
    <col width="3" customWidth="1" min="4" max="4"/>
    <col width="26" customWidth="1" min="5" max="5"/>
    <col width="18" customWidth="1" min="6" max="6"/>
    <col width="24" customWidth="1" min="7" max="7"/>
  </cols>
  <sheetData>
    <row r="1" ht="32" customHeight="1">
      <c r="B1" s="1" t="inlineStr">
        <is>
          <t>🛶 카약 설정 (카약 1 / 카약 2)</t>
        </is>
      </c>
    </row>
    <row r="2" ht="22" customHeight="1">
      <c r="B2" s="2" t="inlineStr">
        <is>
          <t>── 카약 1 ──</t>
        </is>
      </c>
      <c r="E2" s="3" t="inlineStr">
        <is>
          <t>── 카약 2 ──</t>
        </is>
      </c>
    </row>
    <row r="3" ht="22" customHeight="1">
      <c r="B3" s="4" t="inlineStr">
        <is>
          <t>카약 기종명</t>
        </is>
      </c>
      <c r="C3" s="5" t="inlineStr">
        <is>
          <t>Valley Etain 17.7</t>
        </is>
      </c>
      <c r="E3" s="4" t="inlineStr">
        <is>
          <t>카약 기종명</t>
        </is>
      </c>
      <c r="F3" s="5" t="inlineStr">
        <is>
          <t>Necky Chatham 17</t>
        </is>
      </c>
      <c r="G3" s="6" t="inlineStr">
        <is>
          <t>예: Valley Etain 17.7</t>
        </is>
      </c>
    </row>
    <row r="4" ht="22" customHeight="1">
      <c r="B4" s="7" t="inlineStr">
        <is>
          <t>── 선수(Bow) 해치 ──</t>
        </is>
      </c>
      <c r="E4" s="7" t="inlineStr">
        <is>
          <t>── 선수(Bow) 해치 ──</t>
        </is>
      </c>
    </row>
    <row r="5" ht="22" customHeight="1">
      <c r="B5" s="4" t="inlineStr">
        <is>
          <t xml:space="preserve">  최대 적재 중량 (kg)</t>
        </is>
      </c>
      <c r="C5" s="5" t="n">
        <v>25</v>
      </c>
      <c r="E5" s="4" t="inlineStr">
        <is>
          <t xml:space="preserve">  최대 적재 중량 (kg)</t>
        </is>
      </c>
      <c r="F5" s="5" t="n">
        <v>25</v>
      </c>
      <c r="G5" s="6" t="inlineStr">
        <is>
          <t>예: 25</t>
        </is>
      </c>
    </row>
    <row r="6" ht="22" customHeight="1">
      <c r="B6" s="4" t="inlineStr">
        <is>
          <t xml:space="preserve">  최대 적재 용적 (L)</t>
        </is>
      </c>
      <c r="C6" s="5" t="n">
        <v>60</v>
      </c>
      <c r="E6" s="4" t="inlineStr">
        <is>
          <t xml:space="preserve">  최대 적재 용적 (L)</t>
        </is>
      </c>
      <c r="F6" s="5" t="n">
        <v>60</v>
      </c>
      <c r="G6" s="6" t="inlineStr">
        <is>
          <t>예: 60</t>
        </is>
      </c>
    </row>
    <row r="7" ht="22" customHeight="1">
      <c r="B7" s="8" t="inlineStr">
        <is>
          <t>── 선미(Stern) 해치 ──</t>
        </is>
      </c>
      <c r="E7" s="8" t="inlineStr">
        <is>
          <t>── 선미(Stern) 해치 ──</t>
        </is>
      </c>
    </row>
    <row r="8" ht="22" customHeight="1">
      <c r="B8" s="4" t="inlineStr">
        <is>
          <t xml:space="preserve">  최대 적재 중량 (kg)</t>
        </is>
      </c>
      <c r="C8" s="5" t="n">
        <v>30</v>
      </c>
      <c r="E8" s="4" t="inlineStr">
        <is>
          <t xml:space="preserve">  최대 적재 중량 (kg)</t>
        </is>
      </c>
      <c r="F8" s="5" t="n">
        <v>30</v>
      </c>
    </row>
    <row r="9" ht="22" customHeight="1">
      <c r="B9" s="4" t="inlineStr">
        <is>
          <t xml:space="preserve">  최대 적재 용적 (L)</t>
        </is>
      </c>
      <c r="C9" s="5" t="n">
        <v>80</v>
      </c>
      <c r="E9" s="4" t="inlineStr">
        <is>
          <t xml:space="preserve">  최대 적재 용적 (L)</t>
        </is>
      </c>
      <c r="F9" s="5" t="n">
        <v>80</v>
      </c>
    </row>
    <row r="10" ht="22" customHeight="1">
      <c r="B10" s="9" t="inlineStr">
        <is>
          <t>── 패들러 정보 ──</t>
        </is>
      </c>
      <c r="E10" s="9" t="inlineStr">
        <is>
          <t>── 패들러 정보 ──</t>
        </is>
      </c>
    </row>
    <row r="11" ht="22" customHeight="1">
      <c r="B11" s="4" t="inlineStr">
        <is>
          <t xml:space="preserve">  패들러 체중 (kg)</t>
        </is>
      </c>
      <c r="C11" s="5" t="n">
        <v>75</v>
      </c>
      <c r="E11" s="4" t="inlineStr">
        <is>
          <t xml:space="preserve">  패들러 체중 (kg)</t>
        </is>
      </c>
      <c r="F11" s="5" t="n">
        <v>70</v>
      </c>
      <c r="G11" s="6" t="inlineStr">
        <is>
          <t>균형 계산 참고용</t>
        </is>
      </c>
    </row>
  </sheetData>
  <mergeCells count="3">
    <mergeCell ref="E2:F2"/>
    <mergeCell ref="B2:C2"/>
    <mergeCell ref="B1:G1"/>
  </mergeCells>
  <pageMargins left="0.75" right="0.75" top="1" bottom="1" header="0.5" footer="0.5"/>
</worksheet>
</file>

<file path=xl/worksheets/sheet2.xml><?xml version="1.0" encoding="utf-8"?>
<worksheet xmlns:r="http://schemas.openxmlformats.org/officeDocument/2006/relationships" xmlns="http://schemas.openxmlformats.org/spreadsheetml/2006/main">
  <sheetPr>
    <tabColor rgb="002E7D32"/>
    <outlinePr summaryBelow="1" summaryRight="1"/>
    <pageSetUpPr/>
  </sheetPr>
  <dimension ref="A1:K51"/>
  <sheetViews>
    <sheetView showGridLines="1"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12" customWidth="1" min="4" max="4"/>
    <col width="10" customWidth="1" min="5" max="5"/>
    <col width="10" customWidth="1" min="6" max="6"/>
    <col width="20" customWidth="1" min="7" max="7"/>
    <col width="12" customWidth="1" min="8" max="8"/>
    <col width="12" customWidth="1" min="9" max="9"/>
    <col width="12" customWidth="1" min="10" max="10"/>
    <col width="12" customWidth="1" min="11" max="11"/>
  </cols>
  <sheetData>
    <row r="1" ht="24" customHeight="1">
      <c r="A1" s="2" t="inlineStr">
        <is>
          <t>번호</t>
        </is>
      </c>
      <c r="B1" s="2" t="inlineStr">
        <is>
          <t>장비명</t>
        </is>
      </c>
      <c r="C1" s="2" t="inlineStr">
        <is>
          <t>카테고리</t>
        </is>
      </c>
      <c r="D1" s="2" t="inlineStr">
        <is>
          <t>무게(g)</t>
        </is>
      </c>
      <c r="E1" s="2" t="inlineStr">
        <is>
          <t>부피(L)</t>
        </is>
      </c>
      <c r="F1" s="2" t="inlineStr">
        <is>
          <t>필수여부</t>
        </is>
      </c>
      <c r="G1" s="2" t="inlineStr">
        <is>
          <t>비고</t>
        </is>
      </c>
      <c r="H1" s="10" t="inlineStr">
        <is>
          <t>카약1_선수✓</t>
        </is>
      </c>
      <c r="I1" s="11" t="inlineStr">
        <is>
          <t>카약1_선미✓</t>
        </is>
      </c>
      <c r="J1" s="3" t="inlineStr">
        <is>
          <t>카약2_선수✓</t>
        </is>
      </c>
      <c r="K1" s="12" t="inlineStr">
        <is>
          <t>카약2_선미✓</t>
        </is>
      </c>
    </row>
    <row r="2" ht="24" customHeight="1">
      <c r="A2" s="13" t="n">
        <v>1</v>
      </c>
      <c r="B2" s="14" t="inlineStr">
        <is>
          <t>경량 텐트</t>
        </is>
      </c>
      <c r="C2" s="13" t="inlineStr">
        <is>
          <t>취침</t>
        </is>
      </c>
      <c r="D2" s="15" t="n">
        <v>1800</v>
      </c>
      <c r="E2" s="16" t="n">
        <v>4.5</v>
      </c>
      <c r="F2" s="13" t="inlineStr">
        <is>
          <t>필수</t>
        </is>
      </c>
      <c r="G2" s="14" t="inlineStr">
        <is>
          <t>1~2인용 자립형</t>
        </is>
      </c>
      <c r="H2" s="17" t="b">
        <v>0</v>
      </c>
      <c r="I2" s="17" t="b">
        <v>0</v>
      </c>
      <c r="J2" s="17" t="b">
        <v>0</v>
      </c>
      <c r="K2" s="17" t="b">
        <v>0</v>
      </c>
    </row>
    <row r="3" ht="24" customHeight="1">
      <c r="A3" s="18" t="n">
        <v>2</v>
      </c>
      <c r="B3" s="19" t="inlineStr">
        <is>
          <t>침낭 (3계절)</t>
        </is>
      </c>
      <c r="C3" s="18" t="inlineStr">
        <is>
          <t>취침</t>
        </is>
      </c>
      <c r="D3" s="20" t="n">
        <v>900</v>
      </c>
      <c r="E3" s="21" t="n">
        <v>3</v>
      </c>
      <c r="F3" s="18" t="inlineStr">
        <is>
          <t>필수</t>
        </is>
      </c>
      <c r="G3" s="19" t="inlineStr">
        <is>
          <t>방수 압축 팩 필수</t>
        </is>
      </c>
      <c r="H3" s="17" t="b">
        <v>0</v>
      </c>
      <c r="I3" s="17" t="b">
        <v>0</v>
      </c>
      <c r="J3" s="17" t="b">
        <v>0</v>
      </c>
      <c r="K3" s="17" t="b">
        <v>0</v>
      </c>
    </row>
    <row r="4" ht="24" customHeight="1">
      <c r="A4" s="13" t="n">
        <v>3</v>
      </c>
      <c r="B4" s="14" t="inlineStr">
        <is>
          <t>슬리핑 패드</t>
        </is>
      </c>
      <c r="C4" s="13" t="inlineStr">
        <is>
          <t>취침</t>
        </is>
      </c>
      <c r="D4" s="15" t="n">
        <v>450</v>
      </c>
      <c r="E4" s="16" t="n">
        <v>2.5</v>
      </c>
      <c r="F4" s="13" t="inlineStr">
        <is>
          <t>필수</t>
        </is>
      </c>
      <c r="G4" s="14" t="inlineStr">
        <is>
          <t>접이식 폼 또는 에어</t>
        </is>
      </c>
      <c r="H4" s="17" t="b">
        <v>0</v>
      </c>
      <c r="I4" s="17" t="b">
        <v>0</v>
      </c>
      <c r="J4" s="17" t="b">
        <v>0</v>
      </c>
      <c r="K4" s="17" t="b">
        <v>0</v>
      </c>
    </row>
    <row r="5" ht="24" customHeight="1">
      <c r="A5" s="18" t="n">
        <v>4</v>
      </c>
      <c r="B5" s="19" t="inlineStr">
        <is>
          <t>알코올 버너</t>
        </is>
      </c>
      <c r="C5" s="18" t="inlineStr">
        <is>
          <t>식사</t>
        </is>
      </c>
      <c r="D5" s="20" t="n">
        <v>150</v>
      </c>
      <c r="E5" s="21" t="n">
        <v>0.3</v>
      </c>
      <c r="F5" s="18" t="inlineStr">
        <is>
          <t>필수</t>
        </is>
      </c>
      <c r="G5" s="19" t="inlineStr">
        <is>
          <t>MSR Pocket Rocket 류</t>
        </is>
      </c>
      <c r="H5" s="17" t="b">
        <v>0</v>
      </c>
      <c r="I5" s="17" t="b">
        <v>0</v>
      </c>
      <c r="J5" s="17" t="b">
        <v>0</v>
      </c>
      <c r="K5" s="17" t="b">
        <v>0</v>
      </c>
    </row>
    <row r="6" ht="24" customHeight="1">
      <c r="A6" s="13" t="n">
        <v>5</v>
      </c>
      <c r="B6" s="14" t="inlineStr">
        <is>
          <t>가스 캐니스터</t>
        </is>
      </c>
      <c r="C6" s="13" t="inlineStr">
        <is>
          <t>식사</t>
        </is>
      </c>
      <c r="D6" s="15" t="n">
        <v>400</v>
      </c>
      <c r="E6" s="16" t="n">
        <v>0.5</v>
      </c>
      <c r="F6" s="13" t="inlineStr">
        <is>
          <t>필수</t>
        </is>
      </c>
      <c r="G6" s="14" t="inlineStr">
        <is>
          <t>230g 캔 기준</t>
        </is>
      </c>
      <c r="H6" s="17" t="b">
        <v>0</v>
      </c>
      <c r="I6" s="17" t="b">
        <v>0</v>
      </c>
      <c r="J6" s="17" t="b">
        <v>0</v>
      </c>
      <c r="K6" s="17" t="b">
        <v>0</v>
      </c>
    </row>
    <row r="7" ht="24" customHeight="1">
      <c r="A7" s="18" t="n">
        <v>6</v>
      </c>
      <c r="B7" s="19" t="inlineStr">
        <is>
          <t>코펠 세트</t>
        </is>
      </c>
      <c r="C7" s="18" t="inlineStr">
        <is>
          <t>식사</t>
        </is>
      </c>
      <c r="D7" s="20" t="n">
        <v>350</v>
      </c>
      <c r="E7" s="21" t="n">
        <v>0.8</v>
      </c>
      <c r="F7" s="18" t="inlineStr">
        <is>
          <t>필수</t>
        </is>
      </c>
      <c r="G7" s="19" t="inlineStr">
        <is>
          <t>티타늄 1~2인용</t>
        </is>
      </c>
      <c r="H7" s="17" t="b">
        <v>0</v>
      </c>
      <c r="I7" s="17" t="b">
        <v>0</v>
      </c>
      <c r="J7" s="17" t="b">
        <v>0</v>
      </c>
      <c r="K7" s="17" t="b">
        <v>0</v>
      </c>
    </row>
    <row r="8" ht="24" customHeight="1">
      <c r="A8" s="13" t="n">
        <v>7</v>
      </c>
      <c r="B8" s="14" t="inlineStr">
        <is>
          <t>식기 세트</t>
        </is>
      </c>
      <c r="C8" s="13" t="inlineStr">
        <is>
          <t>식사</t>
        </is>
      </c>
      <c r="D8" s="15" t="n">
        <v>120</v>
      </c>
      <c r="E8" s="16" t="n">
        <v>0.3</v>
      </c>
      <c r="F8" s="13" t="inlineStr">
        <is>
          <t>선택</t>
        </is>
      </c>
      <c r="G8" s="14" t="inlineStr">
        <is>
          <t>스푼·포크·젓가락</t>
        </is>
      </c>
      <c r="H8" s="17" t="b">
        <v>0</v>
      </c>
      <c r="I8" s="17" t="b">
        <v>0</v>
      </c>
      <c r="J8" s="17" t="b">
        <v>0</v>
      </c>
      <c r="K8" s="17" t="b">
        <v>0</v>
      </c>
    </row>
    <row r="9" ht="24" customHeight="1">
      <c r="A9" s="18" t="n">
        <v>8</v>
      </c>
      <c r="B9" s="19" t="inlineStr">
        <is>
          <t>비상 식량 1일분</t>
        </is>
      </c>
      <c r="C9" s="18" t="inlineStr">
        <is>
          <t>식사</t>
        </is>
      </c>
      <c r="D9" s="20" t="n">
        <v>600</v>
      </c>
      <c r="E9" s="21" t="n">
        <v>1.2</v>
      </c>
      <c r="F9" s="18" t="inlineStr">
        <is>
          <t>필수</t>
        </is>
      </c>
      <c r="G9" s="19" t="inlineStr">
        <is>
          <t>에너지바·건조식품</t>
        </is>
      </c>
      <c r="H9" s="17" t="b">
        <v>0</v>
      </c>
      <c r="I9" s="17" t="b">
        <v>0</v>
      </c>
      <c r="J9" s="17" t="b">
        <v>0</v>
      </c>
      <c r="K9" s="17" t="b">
        <v>0</v>
      </c>
    </row>
    <row r="10" ht="24" customHeight="1">
      <c r="A10" s="13" t="n">
        <v>9</v>
      </c>
      <c r="B10" s="14" t="inlineStr">
        <is>
          <t>물 (2L)</t>
        </is>
      </c>
      <c r="C10" s="13" t="inlineStr">
        <is>
          <t>식사</t>
        </is>
      </c>
      <c r="D10" s="15" t="n">
        <v>2000</v>
      </c>
      <c r="E10" s="16" t="n">
        <v>2</v>
      </c>
      <c r="F10" s="13" t="inlineStr">
        <is>
          <t>필수</t>
        </is>
      </c>
      <c r="G10" s="14" t="inlineStr">
        <is>
          <t>정수 필터 포함 가능</t>
        </is>
      </c>
      <c r="H10" s="17" t="b">
        <v>0</v>
      </c>
      <c r="I10" s="17" t="b">
        <v>0</v>
      </c>
      <c r="J10" s="17" t="b">
        <v>0</v>
      </c>
      <c r="K10" s="17" t="b">
        <v>0</v>
      </c>
    </row>
    <row r="11" ht="24" customHeight="1">
      <c r="A11" s="18" t="n">
        <v>10</v>
      </c>
      <c r="B11" s="19" t="inlineStr">
        <is>
          <t>방수 재킷</t>
        </is>
      </c>
      <c r="C11" s="18" t="inlineStr">
        <is>
          <t>의류</t>
        </is>
      </c>
      <c r="D11" s="20" t="n">
        <v>500</v>
      </c>
      <c r="E11" s="21" t="n">
        <v>1.5</v>
      </c>
      <c r="F11" s="18" t="inlineStr">
        <is>
          <t>필수</t>
        </is>
      </c>
      <c r="G11" s="19" t="inlineStr">
        <is>
          <t>고어텍스 또는 동급</t>
        </is>
      </c>
      <c r="H11" s="17" t="b">
        <v>0</v>
      </c>
      <c r="I11" s="17" t="b">
        <v>0</v>
      </c>
      <c r="J11" s="17" t="b">
        <v>0</v>
      </c>
      <c r="K11" s="17" t="b">
        <v>0</v>
      </c>
    </row>
    <row r="12" ht="24" customHeight="1">
      <c r="A12" s="13" t="n">
        <v>11</v>
      </c>
      <c r="B12" s="14" t="inlineStr">
        <is>
          <t>여벌 패들링복</t>
        </is>
      </c>
      <c r="C12" s="13" t="inlineStr">
        <is>
          <t>의류</t>
        </is>
      </c>
      <c r="D12" s="15" t="n">
        <v>300</v>
      </c>
      <c r="E12" s="16" t="n">
        <v>0.8</v>
      </c>
      <c r="F12" s="13" t="inlineStr">
        <is>
          <t>선택</t>
        </is>
      </c>
      <c r="G12" s="14" t="inlineStr">
        <is>
          <t>드라이 또는 웻수트</t>
        </is>
      </c>
      <c r="H12" s="17" t="b">
        <v>0</v>
      </c>
      <c r="I12" s="17" t="b">
        <v>0</v>
      </c>
      <c r="J12" s="17" t="b">
        <v>0</v>
      </c>
      <c r="K12" s="17" t="b">
        <v>0</v>
      </c>
    </row>
    <row r="13" ht="24" customHeight="1">
      <c r="A13" s="18" t="n">
        <v>12</v>
      </c>
      <c r="B13" s="19" t="inlineStr">
        <is>
          <t>모자 (챙 넓은)</t>
        </is>
      </c>
      <c r="C13" s="18" t="inlineStr">
        <is>
          <t>의류</t>
        </is>
      </c>
      <c r="D13" s="20" t="n">
        <v>100</v>
      </c>
      <c r="E13" s="21" t="n">
        <v>0.4</v>
      </c>
      <c r="F13" s="18" t="inlineStr">
        <is>
          <t>필수</t>
        </is>
      </c>
      <c r="G13" s="19" t="inlineStr">
        <is>
          <t>자외선 차단용</t>
        </is>
      </c>
      <c r="H13" s="17" t="b">
        <v>0</v>
      </c>
      <c r="I13" s="17" t="b">
        <v>0</v>
      </c>
      <c r="J13" s="17" t="b">
        <v>0</v>
      </c>
      <c r="K13" s="17" t="b">
        <v>0</v>
      </c>
    </row>
    <row r="14" ht="24" customHeight="1">
      <c r="A14" s="13" t="n">
        <v>13</v>
      </c>
      <c r="B14" s="14" t="inlineStr">
        <is>
          <t>샌들·슬리퍼</t>
        </is>
      </c>
      <c r="C14" s="13" t="inlineStr">
        <is>
          <t>의류</t>
        </is>
      </c>
      <c r="D14" s="15" t="n">
        <v>300</v>
      </c>
      <c r="E14" s="16" t="n">
        <v>0.6</v>
      </c>
      <c r="F14" s="13" t="inlineStr">
        <is>
          <t>선택</t>
        </is>
      </c>
      <c r="G14" s="14" t="inlineStr">
        <is>
          <t>상륙 시 착용</t>
        </is>
      </c>
      <c r="H14" s="17" t="b">
        <v>0</v>
      </c>
      <c r="I14" s="17" t="b">
        <v>0</v>
      </c>
      <c r="J14" s="17" t="b">
        <v>0</v>
      </c>
      <c r="K14" s="17" t="b">
        <v>0</v>
      </c>
    </row>
    <row r="15" ht="24" customHeight="1">
      <c r="A15" s="18" t="n">
        <v>14</v>
      </c>
      <c r="B15" s="19" t="inlineStr">
        <is>
          <t>구명조끼 (PFD)</t>
        </is>
      </c>
      <c r="C15" s="18" t="inlineStr">
        <is>
          <t>안전</t>
        </is>
      </c>
      <c r="D15" s="20" t="n">
        <v>1200</v>
      </c>
      <c r="E15" s="21" t="n">
        <v>3</v>
      </c>
      <c r="F15" s="18" t="inlineStr">
        <is>
          <t>필수</t>
        </is>
      </c>
      <c r="G15" s="19" t="inlineStr">
        <is>
          <t>항시 착용 필수</t>
        </is>
      </c>
      <c r="H15" s="17" t="b">
        <v>0</v>
      </c>
      <c r="I15" s="17" t="b">
        <v>0</v>
      </c>
      <c r="J15" s="17" t="b">
        <v>0</v>
      </c>
      <c r="K15" s="17" t="b">
        <v>0</v>
      </c>
    </row>
    <row r="16" ht="24" customHeight="1">
      <c r="A16" s="13" t="n">
        <v>15</v>
      </c>
      <c r="B16" s="14" t="inlineStr">
        <is>
          <t>구급 키트</t>
        </is>
      </c>
      <c r="C16" s="13" t="inlineStr">
        <is>
          <t>안전</t>
        </is>
      </c>
      <c r="D16" s="15" t="n">
        <v>250</v>
      </c>
      <c r="E16" s="16" t="n">
        <v>0.5</v>
      </c>
      <c r="F16" s="13" t="inlineStr">
        <is>
          <t>필수</t>
        </is>
      </c>
      <c r="G16" s="14" t="inlineStr">
        <is>
          <t>방수 케이스 포장</t>
        </is>
      </c>
      <c r="H16" s="17" t="b">
        <v>0</v>
      </c>
      <c r="I16" s="17" t="b">
        <v>0</v>
      </c>
      <c r="J16" s="17" t="b">
        <v>0</v>
      </c>
      <c r="K16" s="17" t="b">
        <v>0</v>
      </c>
    </row>
    <row r="17" ht="24" customHeight="1">
      <c r="A17" s="18" t="n">
        <v>16</v>
      </c>
      <c r="B17" s="19" t="inlineStr">
        <is>
          <t>호루라기</t>
        </is>
      </c>
      <c r="C17" s="18" t="inlineStr">
        <is>
          <t>안전</t>
        </is>
      </c>
      <c r="D17" s="20" t="n">
        <v>20</v>
      </c>
      <c r="E17" s="21" t="n">
        <v>0</v>
      </c>
      <c r="F17" s="18" t="inlineStr">
        <is>
          <t>필수</t>
        </is>
      </c>
      <c r="G17" s="19" t="inlineStr">
        <is>
          <t>PFD에 부착</t>
        </is>
      </c>
      <c r="H17" s="17" t="b">
        <v>0</v>
      </c>
      <c r="I17" s="17" t="b">
        <v>0</v>
      </c>
      <c r="J17" s="17" t="b">
        <v>0</v>
      </c>
      <c r="K17" s="17" t="b">
        <v>0</v>
      </c>
    </row>
    <row r="18" ht="24" customHeight="1">
      <c r="A18" s="13" t="n">
        <v>17</v>
      </c>
      <c r="B18" s="14" t="inlineStr">
        <is>
          <t>방수 라이트</t>
        </is>
      </c>
      <c r="C18" s="13" t="inlineStr">
        <is>
          <t>안전</t>
        </is>
      </c>
      <c r="D18" s="15" t="n">
        <v>150</v>
      </c>
      <c r="E18" s="16" t="n">
        <v>0.2</v>
      </c>
      <c r="F18" s="13" t="inlineStr">
        <is>
          <t>필수</t>
        </is>
      </c>
      <c r="G18" s="14" t="inlineStr">
        <is>
          <t>야간 야영·신호용</t>
        </is>
      </c>
      <c r="H18" s="17" t="b">
        <v>0</v>
      </c>
      <c r="I18" s="17" t="b">
        <v>0</v>
      </c>
      <c r="J18" s="17" t="b">
        <v>0</v>
      </c>
      <c r="K18" s="17" t="b">
        <v>0</v>
      </c>
    </row>
    <row r="19" ht="24" customHeight="1">
      <c r="A19" s="18" t="n">
        <v>18</v>
      </c>
      <c r="B19" s="19" t="inlineStr">
        <is>
          <t>스프레이 스커트</t>
        </is>
      </c>
      <c r="C19" s="18" t="inlineStr">
        <is>
          <t>패들링</t>
        </is>
      </c>
      <c r="D19" s="20" t="n">
        <v>500</v>
      </c>
      <c r="E19" s="21" t="n">
        <v>1</v>
      </c>
      <c r="F19" s="18" t="inlineStr">
        <is>
          <t>필수</t>
        </is>
      </c>
      <c r="G19" s="19" t="inlineStr">
        <is>
          <t>카약 콕핏 크기 확인</t>
        </is>
      </c>
      <c r="H19" s="17" t="b">
        <v>0</v>
      </c>
      <c r="I19" s="17" t="b">
        <v>0</v>
      </c>
      <c r="J19" s="17" t="b">
        <v>0</v>
      </c>
      <c r="K19" s="17" t="b">
        <v>0</v>
      </c>
    </row>
    <row r="20" ht="24" customHeight="1">
      <c r="A20" s="13" t="n">
        <v>19</v>
      </c>
      <c r="B20" s="14" t="inlineStr">
        <is>
          <t>빌지 펌프</t>
        </is>
      </c>
      <c r="C20" s="13" t="inlineStr">
        <is>
          <t>패들링</t>
        </is>
      </c>
      <c r="D20" s="15" t="n">
        <v>300</v>
      </c>
      <c r="E20" s="16" t="n">
        <v>0.8</v>
      </c>
      <c r="F20" s="13" t="inlineStr">
        <is>
          <t>필수</t>
        </is>
      </c>
      <c r="G20" s="14" t="inlineStr">
        <is>
          <t>핸드 펌프 타입</t>
        </is>
      </c>
      <c r="H20" s="17" t="b">
        <v>0</v>
      </c>
      <c r="I20" s="17" t="b">
        <v>0</v>
      </c>
      <c r="J20" s="17" t="b">
        <v>0</v>
      </c>
      <c r="K20" s="17" t="b">
        <v>0</v>
      </c>
    </row>
    <row r="21" ht="24" customHeight="1">
      <c r="A21" s="18" t="n">
        <v>20</v>
      </c>
      <c r="B21" s="19" t="inlineStr">
        <is>
          <t>패들 플로트</t>
        </is>
      </c>
      <c r="C21" s="18" t="inlineStr">
        <is>
          <t>패들링</t>
        </is>
      </c>
      <c r="D21" s="20" t="n">
        <v>350</v>
      </c>
      <c r="E21" s="21" t="n">
        <v>2.5</v>
      </c>
      <c r="F21" s="18" t="inlineStr">
        <is>
          <t>필수</t>
        </is>
      </c>
      <c r="G21" s="19" t="inlineStr">
        <is>
          <t>재진입 구조용</t>
        </is>
      </c>
      <c r="H21" s="17" t="b">
        <v>0</v>
      </c>
      <c r="I21" s="17" t="b">
        <v>0</v>
      </c>
      <c r="J21" s="17" t="b">
        <v>0</v>
      </c>
      <c r="K21" s="17" t="b">
        <v>0</v>
      </c>
    </row>
    <row r="22" ht="24" customHeight="1">
      <c r="A22" s="13" t="n">
        <v>21</v>
      </c>
      <c r="B22" s="14" t="inlineStr">
        <is>
          <t>드라이백 20L</t>
        </is>
      </c>
      <c r="C22" s="13" t="inlineStr">
        <is>
          <t>기타</t>
        </is>
      </c>
      <c r="D22" s="15" t="n">
        <v>200</v>
      </c>
      <c r="E22" s="16" t="n">
        <v>0.3</v>
      </c>
      <c r="F22" s="13" t="inlineStr">
        <is>
          <t>필수</t>
        </is>
      </c>
      <c r="G22" s="14" t="inlineStr">
        <is>
          <t>방수 롤탑</t>
        </is>
      </c>
      <c r="H22" s="17" t="b">
        <v>0</v>
      </c>
      <c r="I22" s="17" t="b">
        <v>0</v>
      </c>
      <c r="J22" s="17" t="b">
        <v>0</v>
      </c>
      <c r="K22" s="17" t="b">
        <v>0</v>
      </c>
    </row>
    <row r="23" ht="24" customHeight="1">
      <c r="A23" s="18" t="n">
        <v>22</v>
      </c>
      <c r="B23" s="19" t="inlineStr">
        <is>
          <t>드라이백 5L</t>
        </is>
      </c>
      <c r="C23" s="18" t="inlineStr">
        <is>
          <t>기타</t>
        </is>
      </c>
      <c r="D23" s="20" t="n">
        <v>100</v>
      </c>
      <c r="E23" s="21" t="n">
        <v>0.1</v>
      </c>
      <c r="F23" s="18" t="inlineStr">
        <is>
          <t>선택</t>
        </is>
      </c>
      <c r="G23" s="19" t="inlineStr">
        <is>
          <t>소형 장비 분류용</t>
        </is>
      </c>
      <c r="H23" s="17" t="b">
        <v>0</v>
      </c>
      <c r="I23" s="17" t="b">
        <v>0</v>
      </c>
      <c r="J23" s="17" t="b">
        <v>0</v>
      </c>
      <c r="K23" s="17" t="b">
        <v>0</v>
      </c>
    </row>
    <row r="24" ht="24" customHeight="1">
      <c r="A24" s="13" t="n">
        <v>23</v>
      </c>
      <c r="B24" s="14" t="inlineStr">
        <is>
          <t>액션 카메라</t>
        </is>
      </c>
      <c r="C24" s="13" t="inlineStr">
        <is>
          <t>기타</t>
        </is>
      </c>
      <c r="D24" s="15" t="n">
        <v>120</v>
      </c>
      <c r="E24" s="16" t="n">
        <v>0.2</v>
      </c>
      <c r="F24" s="13" t="inlineStr">
        <is>
          <t>선택</t>
        </is>
      </c>
      <c r="G24" s="14" t="inlineStr">
        <is>
          <t>방수 케이스 포함</t>
        </is>
      </c>
      <c r="H24" s="17" t="b">
        <v>0</v>
      </c>
      <c r="I24" s="17" t="b">
        <v>0</v>
      </c>
      <c r="J24" s="17" t="b">
        <v>0</v>
      </c>
      <c r="K24" s="17" t="b">
        <v>0</v>
      </c>
    </row>
    <row r="25" ht="24" customHeight="1">
      <c r="A25" s="18" t="n">
        <v>24</v>
      </c>
      <c r="B25" s="19" t="inlineStr">
        <is>
          <t>선크림 SPF50+</t>
        </is>
      </c>
      <c r="C25" s="18" t="inlineStr">
        <is>
          <t>기타</t>
        </is>
      </c>
      <c r="D25" s="20" t="n">
        <v>80</v>
      </c>
      <c r="E25" s="21" t="n">
        <v>0.1</v>
      </c>
      <c r="F25" s="18" t="inlineStr">
        <is>
          <t>필수</t>
        </is>
      </c>
      <c r="G25" s="19" t="inlineStr">
        <is>
          <t>물에 지워지지 않는</t>
        </is>
      </c>
      <c r="H25" s="17" t="b">
        <v>0</v>
      </c>
      <c r="I25" s="17" t="b">
        <v>0</v>
      </c>
      <c r="J25" s="17" t="b">
        <v>0</v>
      </c>
      <c r="K25" s="17" t="b">
        <v>0</v>
      </c>
    </row>
    <row r="26" ht="24" customHeight="1">
      <c r="A26" s="13" t="n">
        <v>25</v>
      </c>
      <c r="B26" s="14" t="inlineStr">
        <is>
          <t>내비게이션 지도</t>
        </is>
      </c>
      <c r="C26" s="13" t="inlineStr">
        <is>
          <t>기타</t>
        </is>
      </c>
      <c r="D26" s="15" t="n">
        <v>50</v>
      </c>
      <c r="E26" s="16" t="n">
        <v>0.1</v>
      </c>
      <c r="F26" s="13" t="inlineStr">
        <is>
          <t>선택</t>
        </is>
      </c>
      <c r="G26" s="14" t="inlineStr">
        <is>
          <t>방수 케이스에 보관</t>
        </is>
      </c>
      <c r="H26" s="17" t="b">
        <v>0</v>
      </c>
      <c r="I26" s="17" t="b">
        <v>0</v>
      </c>
      <c r="J26" s="17" t="b">
        <v>0</v>
      </c>
      <c r="K26" s="17" t="b">
        <v>0</v>
      </c>
    </row>
    <row r="27" ht="24" customHeight="1">
      <c r="A27" s="18" t="n">
        <v>26</v>
      </c>
      <c r="B27" s="19" t="inlineStr">
        <is>
          <t>텐트 그라운드시트</t>
        </is>
      </c>
      <c r="C27" s="18" t="inlineStr">
        <is>
          <t>취침</t>
        </is>
      </c>
      <c r="D27" s="20" t="n">
        <v>300</v>
      </c>
      <c r="E27" s="21" t="n">
        <v>0.5</v>
      </c>
      <c r="F27" s="18" t="inlineStr">
        <is>
          <t>선택</t>
        </is>
      </c>
      <c r="G27" s="19" t="inlineStr">
        <is>
          <t>텐트 바닥 보호·방수</t>
        </is>
      </c>
      <c r="H27" s="17" t="b">
        <v>0</v>
      </c>
      <c r="I27" s="17" t="b">
        <v>0</v>
      </c>
      <c r="J27" s="17" t="b">
        <v>0</v>
      </c>
      <c r="K27" s="17" t="b">
        <v>0</v>
      </c>
    </row>
    <row r="28" ht="24" customHeight="1">
      <c r="A28" s="13" t="n">
        <v>27</v>
      </c>
      <c r="B28" s="14" t="inlineStr">
        <is>
          <t>침낭 라이너</t>
        </is>
      </c>
      <c r="C28" s="13" t="inlineStr">
        <is>
          <t>취침</t>
        </is>
      </c>
      <c r="D28" s="15" t="n">
        <v>200</v>
      </c>
      <c r="E28" s="16" t="n">
        <v>0.4</v>
      </c>
      <c r="F28" s="13" t="inlineStr">
        <is>
          <t>선택</t>
        </is>
      </c>
      <c r="G28" s="14" t="inlineStr">
        <is>
          <t>보온 강화·위생 관리</t>
        </is>
      </c>
      <c r="H28" s="17" t="b">
        <v>0</v>
      </c>
      <c r="I28" s="17" t="b">
        <v>0</v>
      </c>
      <c r="J28" s="17" t="b">
        <v>0</v>
      </c>
      <c r="K28" s="17" t="b">
        <v>0</v>
      </c>
    </row>
    <row r="29" ht="24" customHeight="1">
      <c r="A29" s="18" t="n">
        <v>28</v>
      </c>
      <c r="B29" s="19" t="inlineStr">
        <is>
          <t>에어 베개</t>
        </is>
      </c>
      <c r="C29" s="18" t="inlineStr">
        <is>
          <t>취침</t>
        </is>
      </c>
      <c r="D29" s="20" t="n">
        <v>80</v>
      </c>
      <c r="E29" s="21" t="n">
        <v>0.2</v>
      </c>
      <c r="F29" s="18" t="inlineStr">
        <is>
          <t>선택</t>
        </is>
      </c>
      <c r="G29" s="19" t="inlineStr">
        <is>
          <t>팽창식 초경량</t>
        </is>
      </c>
      <c r="H29" s="17" t="b">
        <v>0</v>
      </c>
      <c r="I29" s="17" t="b">
        <v>0</v>
      </c>
      <c r="J29" s="17" t="b">
        <v>0</v>
      </c>
      <c r="K29" s="17" t="b">
        <v>0</v>
      </c>
    </row>
    <row r="30" ht="24" customHeight="1">
      <c r="A30" s="13" t="n">
        <v>29</v>
      </c>
      <c r="B30" s="14" t="inlineStr">
        <is>
          <t>정수 필터</t>
        </is>
      </c>
      <c r="C30" s="13" t="inlineStr">
        <is>
          <t>식사</t>
        </is>
      </c>
      <c r="D30" s="15" t="n">
        <v>100</v>
      </c>
      <c r="E30" s="16" t="n">
        <v>0.2</v>
      </c>
      <c r="F30" s="13" t="inlineStr">
        <is>
          <t>선택</t>
        </is>
      </c>
      <c r="G30" s="14" t="inlineStr">
        <is>
          <t>소이어 스퀴즈 류</t>
        </is>
      </c>
      <c r="H30" s="17" t="b">
        <v>0</v>
      </c>
      <c r="I30" s="17" t="b">
        <v>0</v>
      </c>
      <c r="J30" s="17" t="b">
        <v>0</v>
      </c>
      <c r="K30" s="17" t="b">
        <v>0</v>
      </c>
    </row>
    <row r="31" ht="24" customHeight="1">
      <c r="A31" s="18" t="n">
        <v>30</v>
      </c>
      <c r="B31" s="19" t="inlineStr">
        <is>
          <t>조미료 세트</t>
        </is>
      </c>
      <c r="C31" s="18" t="inlineStr">
        <is>
          <t>식사</t>
        </is>
      </c>
      <c r="D31" s="20" t="n">
        <v>150</v>
      </c>
      <c r="E31" s="21" t="n">
        <v>0.3</v>
      </c>
      <c r="F31" s="18" t="inlineStr">
        <is>
          <t>선택</t>
        </is>
      </c>
      <c r="G31" s="19" t="inlineStr">
        <is>
          <t>소금·후추·참기름 소분</t>
        </is>
      </c>
      <c r="H31" s="17" t="b">
        <v>0</v>
      </c>
      <c r="I31" s="17" t="b">
        <v>0</v>
      </c>
      <c r="J31" s="17" t="b">
        <v>0</v>
      </c>
      <c r="K31" s="17" t="b">
        <v>0</v>
      </c>
    </row>
    <row r="32" ht="24" customHeight="1">
      <c r="A32" s="13" t="n">
        <v>31</v>
      </c>
      <c r="B32" s="14" t="inlineStr">
        <is>
          <t>식품 보관백</t>
        </is>
      </c>
      <c r="C32" s="13" t="inlineStr">
        <is>
          <t>식사</t>
        </is>
      </c>
      <c r="D32" s="15" t="n">
        <v>50</v>
      </c>
      <c r="E32" s="16" t="n">
        <v>0.1</v>
      </c>
      <c r="F32" s="13" t="inlineStr">
        <is>
          <t>선택</t>
        </is>
      </c>
      <c r="G32" s="14" t="inlineStr">
        <is>
          <t>냄새 차단 지퍼백</t>
        </is>
      </c>
      <c r="H32" s="17" t="b">
        <v>0</v>
      </c>
      <c r="I32" s="17" t="b">
        <v>0</v>
      </c>
      <c r="J32" s="17" t="b">
        <v>0</v>
      </c>
      <c r="K32" s="17" t="b">
        <v>0</v>
      </c>
    </row>
    <row r="33" ht="24" customHeight="1">
      <c r="A33" s="18" t="n">
        <v>32</v>
      </c>
      <c r="B33" s="19" t="inlineStr">
        <is>
          <t>커피·차 용품</t>
        </is>
      </c>
      <c r="C33" s="18" t="inlineStr">
        <is>
          <t>식사</t>
        </is>
      </c>
      <c r="D33" s="20" t="n">
        <v>120</v>
      </c>
      <c r="E33" s="21" t="n">
        <v>0.3</v>
      </c>
      <c r="F33" s="18" t="inlineStr">
        <is>
          <t>선택</t>
        </is>
      </c>
      <c r="G33" s="19" t="inlineStr">
        <is>
          <t>드립백·티백 세트</t>
        </is>
      </c>
      <c r="H33" s="17" t="b">
        <v>0</v>
      </c>
      <c r="I33" s="17" t="b">
        <v>0</v>
      </c>
      <c r="J33" s="17" t="b">
        <v>0</v>
      </c>
      <c r="K33" s="17" t="b">
        <v>0</v>
      </c>
    </row>
    <row r="34" ht="24" customHeight="1">
      <c r="A34" s="13" t="n">
        <v>33</v>
      </c>
      <c r="B34" s="14" t="inlineStr">
        <is>
          <t>방수 장갑</t>
        </is>
      </c>
      <c r="C34" s="13" t="inlineStr">
        <is>
          <t>의류</t>
        </is>
      </c>
      <c r="D34" s="15" t="n">
        <v>180</v>
      </c>
      <c r="E34" s="16" t="n">
        <v>0.3</v>
      </c>
      <c r="F34" s="13" t="inlineStr">
        <is>
          <t>선택</t>
        </is>
      </c>
      <c r="G34" s="14" t="inlineStr">
        <is>
          <t>네오프렌 또는 합성 소재</t>
        </is>
      </c>
      <c r="H34" s="17" t="b">
        <v>0</v>
      </c>
      <c r="I34" s="17" t="b">
        <v>0</v>
      </c>
      <c r="J34" s="17" t="b">
        <v>0</v>
      </c>
      <c r="K34" s="17" t="b">
        <v>0</v>
      </c>
    </row>
    <row r="35" ht="24" customHeight="1">
      <c r="A35" s="18" t="n">
        <v>34</v>
      </c>
      <c r="B35" s="19" t="inlineStr">
        <is>
          <t>래쉬가드</t>
        </is>
      </c>
      <c r="C35" s="18" t="inlineStr">
        <is>
          <t>의류</t>
        </is>
      </c>
      <c r="D35" s="20" t="n">
        <v>200</v>
      </c>
      <c r="E35" s="21" t="n">
        <v>0.5</v>
      </c>
      <c r="F35" s="18" t="inlineStr">
        <is>
          <t>선택</t>
        </is>
      </c>
      <c r="G35" s="19" t="inlineStr">
        <is>
          <t>자외선 차단 장·반팔</t>
        </is>
      </c>
      <c r="H35" s="17" t="b">
        <v>0</v>
      </c>
      <c r="I35" s="17" t="b">
        <v>0</v>
      </c>
      <c r="J35" s="17" t="b">
        <v>0</v>
      </c>
      <c r="K35" s="17" t="b">
        <v>0</v>
      </c>
    </row>
    <row r="36" ht="24" customHeight="1">
      <c r="A36" s="13" t="n">
        <v>35</v>
      </c>
      <c r="B36" s="14" t="inlineStr">
        <is>
          <t>방한 플리스</t>
        </is>
      </c>
      <c r="C36" s="13" t="inlineStr">
        <is>
          <t>의류</t>
        </is>
      </c>
      <c r="D36" s="15" t="n">
        <v>400</v>
      </c>
      <c r="E36" s="16" t="n">
        <v>1</v>
      </c>
      <c r="F36" s="13" t="inlineStr">
        <is>
          <t>선택</t>
        </is>
      </c>
      <c r="G36" s="14" t="inlineStr">
        <is>
          <t>상륙 후 체온 유지</t>
        </is>
      </c>
      <c r="H36" s="17" t="b">
        <v>0</v>
      </c>
      <c r="I36" s="17" t="b">
        <v>0</v>
      </c>
      <c r="J36" s="17" t="b">
        <v>0</v>
      </c>
      <c r="K36" s="17" t="b">
        <v>0</v>
      </c>
    </row>
    <row r="37" ht="24" customHeight="1">
      <c r="A37" s="18" t="n">
        <v>36</v>
      </c>
      <c r="B37" s="19" t="inlineStr">
        <is>
          <t>방수 바지</t>
        </is>
      </c>
      <c r="C37" s="18" t="inlineStr">
        <is>
          <t>의류</t>
        </is>
      </c>
      <c r="D37" s="20" t="n">
        <v>350</v>
      </c>
      <c r="E37" s="21" t="n">
        <v>0.7</v>
      </c>
      <c r="F37" s="18" t="inlineStr">
        <is>
          <t>선택</t>
        </is>
      </c>
      <c r="G37" s="19" t="inlineStr">
        <is>
          <t>상·하반신 레이어링</t>
        </is>
      </c>
      <c r="H37" s="17" t="b">
        <v>0</v>
      </c>
      <c r="I37" s="17" t="b">
        <v>0</v>
      </c>
      <c r="J37" s="17" t="b">
        <v>0</v>
      </c>
      <c r="K37" s="17" t="b">
        <v>0</v>
      </c>
    </row>
    <row r="38" ht="24" customHeight="1">
      <c r="A38" s="13" t="n">
        <v>37</v>
      </c>
      <c r="B38" s="14" t="inlineStr">
        <is>
          <t>토우라인</t>
        </is>
      </c>
      <c r="C38" s="13" t="inlineStr">
        <is>
          <t>안전</t>
        </is>
      </c>
      <c r="D38" s="15" t="n">
        <v>400</v>
      </c>
      <c r="E38" s="16" t="n">
        <v>0.8</v>
      </c>
      <c r="F38" s="13" t="inlineStr">
        <is>
          <t>필수</t>
        </is>
      </c>
      <c r="G38" s="14" t="inlineStr">
        <is>
          <t>15m 이상 부유 구조로프</t>
        </is>
      </c>
      <c r="H38" s="17" t="b">
        <v>0</v>
      </c>
      <c r="I38" s="17" t="b">
        <v>0</v>
      </c>
      <c r="J38" s="17" t="b">
        <v>0</v>
      </c>
      <c r="K38" s="17" t="b">
        <v>0</v>
      </c>
    </row>
    <row r="39" ht="24" customHeight="1">
      <c r="A39" s="18" t="n">
        <v>38</v>
      </c>
      <c r="B39" s="19" t="inlineStr">
        <is>
          <t>신호 거울</t>
        </is>
      </c>
      <c r="C39" s="18" t="inlineStr">
        <is>
          <t>안전</t>
        </is>
      </c>
      <c r="D39" s="20" t="n">
        <v>50</v>
      </c>
      <c r="E39" s="21" t="n">
        <v>0</v>
      </c>
      <c r="F39" s="18" t="inlineStr">
        <is>
          <t>선택</t>
        </is>
      </c>
      <c r="G39" s="19" t="inlineStr">
        <is>
          <t>조난 신호용</t>
        </is>
      </c>
      <c r="H39" s="17" t="b">
        <v>0</v>
      </c>
      <c r="I39" s="17" t="b">
        <v>0</v>
      </c>
      <c r="J39" s="17" t="b">
        <v>0</v>
      </c>
      <c r="K39" s="17" t="b">
        <v>0</v>
      </c>
    </row>
    <row r="40" ht="24" customHeight="1">
      <c r="A40" s="13" t="n">
        <v>39</v>
      </c>
      <c r="B40" s="14" t="inlineStr">
        <is>
          <t>케미라이트</t>
        </is>
      </c>
      <c r="C40" s="13" t="inlineStr">
        <is>
          <t>안전</t>
        </is>
      </c>
      <c r="D40" s="15" t="n">
        <v>30</v>
      </c>
      <c r="E40" s="16" t="n">
        <v>0</v>
      </c>
      <c r="F40" s="13" t="inlineStr">
        <is>
          <t>선택</t>
        </is>
      </c>
      <c r="G40" s="14" t="inlineStr">
        <is>
          <t>야간 시인성·비상신호</t>
        </is>
      </c>
      <c r="H40" s="17" t="b">
        <v>0</v>
      </c>
      <c r="I40" s="17" t="b">
        <v>0</v>
      </c>
      <c r="J40" s="17" t="b">
        <v>0</v>
      </c>
      <c r="K40" s="17" t="b">
        <v>0</v>
      </c>
    </row>
    <row r="41" ht="24" customHeight="1">
      <c r="A41" s="18" t="n">
        <v>40</v>
      </c>
      <c r="B41" s="19" t="inlineStr">
        <is>
          <t>나침반</t>
        </is>
      </c>
      <c r="C41" s="18" t="inlineStr">
        <is>
          <t>패들링</t>
        </is>
      </c>
      <c r="D41" s="20" t="n">
        <v>80</v>
      </c>
      <c r="E41" s="21" t="n">
        <v>0.1</v>
      </c>
      <c r="F41" s="18" t="inlineStr">
        <is>
          <t>필수</t>
        </is>
      </c>
      <c r="G41" s="19" t="inlineStr">
        <is>
          <t>방수 독립형 나침반</t>
        </is>
      </c>
      <c r="H41" s="17" t="b">
        <v>0</v>
      </c>
      <c r="I41" s="17" t="b">
        <v>0</v>
      </c>
      <c r="J41" s="17" t="b">
        <v>0</v>
      </c>
      <c r="K41" s="17" t="b">
        <v>0</v>
      </c>
    </row>
    <row r="42" ht="24" customHeight="1">
      <c r="A42" s="13" t="n">
        <v>41</v>
      </c>
      <c r="B42" s="14" t="inlineStr">
        <is>
          <t>패들 리쉬</t>
        </is>
      </c>
      <c r="C42" s="13" t="inlineStr">
        <is>
          <t>패들링</t>
        </is>
      </c>
      <c r="D42" s="15" t="n">
        <v>60</v>
      </c>
      <c r="E42" s="16" t="n">
        <v>0.1</v>
      </c>
      <c r="F42" s="13" t="inlineStr">
        <is>
          <t>선택</t>
        </is>
      </c>
      <c r="G42" s="14" t="inlineStr">
        <is>
          <t>패들 분실 방지 줄</t>
        </is>
      </c>
      <c r="H42" s="17" t="b">
        <v>0</v>
      </c>
      <c r="I42" s="17" t="b">
        <v>0</v>
      </c>
      <c r="J42" s="17" t="b">
        <v>0</v>
      </c>
      <c r="K42" s="17" t="b">
        <v>0</v>
      </c>
    </row>
    <row r="43" ht="24" customHeight="1">
      <c r="A43" s="18" t="n">
        <v>42</v>
      </c>
      <c r="B43" s="19" t="inlineStr">
        <is>
          <t>씨앵커</t>
        </is>
      </c>
      <c r="C43" s="18" t="inlineStr">
        <is>
          <t>패들링</t>
        </is>
      </c>
      <c r="D43" s="20" t="n">
        <v>250</v>
      </c>
      <c r="E43" s="21" t="n">
        <v>0.5</v>
      </c>
      <c r="F43" s="18" t="inlineStr">
        <is>
          <t>선택</t>
        </is>
      </c>
      <c r="G43" s="19" t="inlineStr">
        <is>
          <t>드리프트 제어 파라슈트</t>
        </is>
      </c>
      <c r="H43" s="17" t="b">
        <v>0</v>
      </c>
      <c r="I43" s="17" t="b">
        <v>0</v>
      </c>
      <c r="J43" s="17" t="b">
        <v>0</v>
      </c>
      <c r="K43" s="17" t="b">
        <v>0</v>
      </c>
    </row>
    <row r="44" ht="24" customHeight="1">
      <c r="A44" s="13" t="n">
        <v>43</v>
      </c>
      <c r="B44" s="14" t="inlineStr">
        <is>
          <t>카약 카트</t>
        </is>
      </c>
      <c r="C44" s="13" t="inlineStr">
        <is>
          <t>패들링</t>
        </is>
      </c>
      <c r="D44" s="15" t="n">
        <v>1500</v>
      </c>
      <c r="E44" s="16" t="n">
        <v>3</v>
      </c>
      <c r="F44" s="13" t="inlineStr">
        <is>
          <t>선택</t>
        </is>
      </c>
      <c r="G44" s="14" t="inlineStr">
        <is>
          <t>해변·선착장 이동 트롤리</t>
        </is>
      </c>
      <c r="H44" s="17" t="b">
        <v>0</v>
      </c>
      <c r="I44" s="17" t="b">
        <v>0</v>
      </c>
      <c r="J44" s="17" t="b">
        <v>0</v>
      </c>
      <c r="K44" s="17" t="b">
        <v>0</v>
      </c>
    </row>
    <row r="45" ht="24" customHeight="1">
      <c r="A45" s="18" t="n">
        <v>44</v>
      </c>
      <c r="B45" s="19" t="inlineStr">
        <is>
          <t>헤드램프</t>
        </is>
      </c>
      <c r="C45" s="18" t="inlineStr">
        <is>
          <t>기타</t>
        </is>
      </c>
      <c r="D45" s="20" t="n">
        <v>100</v>
      </c>
      <c r="E45" s="21" t="n">
        <v>0.2</v>
      </c>
      <c r="F45" s="18" t="inlineStr">
        <is>
          <t>필수</t>
        </is>
      </c>
      <c r="G45" s="19" t="inlineStr">
        <is>
          <t>방수 IPX4 이상</t>
        </is>
      </c>
      <c r="H45" s="17" t="b">
        <v>0</v>
      </c>
      <c r="I45" s="17" t="b">
        <v>0</v>
      </c>
      <c r="J45" s="17" t="b">
        <v>0</v>
      </c>
      <c r="K45" s="17" t="b">
        <v>0</v>
      </c>
    </row>
    <row r="46" ht="24" customHeight="1">
      <c r="A46" s="13" t="n">
        <v>45</v>
      </c>
      <c r="B46" s="14" t="inlineStr">
        <is>
          <t>보조 배터리</t>
        </is>
      </c>
      <c r="C46" s="13" t="inlineStr">
        <is>
          <t>기타</t>
        </is>
      </c>
      <c r="D46" s="15" t="n">
        <v>350</v>
      </c>
      <c r="E46" s="16" t="n">
        <v>0.5</v>
      </c>
      <c r="F46" s="13" t="inlineStr">
        <is>
          <t>선택</t>
        </is>
      </c>
      <c r="G46" s="14" t="inlineStr">
        <is>
          <t>방수 케이스·10000mAh</t>
        </is>
      </c>
      <c r="H46" s="17" t="b">
        <v>0</v>
      </c>
      <c r="I46" s="17" t="b">
        <v>0</v>
      </c>
      <c r="J46" s="17" t="b">
        <v>0</v>
      </c>
      <c r="K46" s="17" t="b">
        <v>0</v>
      </c>
    </row>
    <row r="47" ht="24" customHeight="1">
      <c r="A47" s="18" t="n">
        <v>46</v>
      </c>
      <c r="B47" s="19" t="inlineStr">
        <is>
          <t>방수 폰케이스</t>
        </is>
      </c>
      <c r="C47" s="18" t="inlineStr">
        <is>
          <t>기타</t>
        </is>
      </c>
      <c r="D47" s="20" t="n">
        <v>50</v>
      </c>
      <c r="E47" s="21" t="n">
        <v>0.1</v>
      </c>
      <c r="F47" s="18" t="inlineStr">
        <is>
          <t>필수</t>
        </is>
      </c>
      <c r="G47" s="19" t="inlineStr">
        <is>
          <t>터치 조작 가능 타입</t>
        </is>
      </c>
      <c r="H47" s="17" t="b">
        <v>0</v>
      </c>
      <c r="I47" s="17" t="b">
        <v>0</v>
      </c>
      <c r="J47" s="17" t="b">
        <v>0</v>
      </c>
      <c r="K47" s="17" t="b">
        <v>0</v>
      </c>
    </row>
    <row r="48" ht="24" customHeight="1">
      <c r="A48" s="13" t="n">
        <v>47</v>
      </c>
      <c r="B48" s="14" t="inlineStr">
        <is>
          <t>접이식 의자</t>
        </is>
      </c>
      <c r="C48" s="13" t="inlineStr">
        <is>
          <t>기타</t>
        </is>
      </c>
      <c r="D48" s="15" t="n">
        <v>800</v>
      </c>
      <c r="E48" s="16" t="n">
        <v>2</v>
      </c>
      <c r="F48" s="13" t="inlineStr">
        <is>
          <t>선택</t>
        </is>
      </c>
      <c r="G48" s="14" t="inlineStr">
        <is>
          <t>경량 캠핑 체어</t>
        </is>
      </c>
      <c r="H48" s="17" t="b">
        <v>0</v>
      </c>
      <c r="I48" s="17" t="b">
        <v>0</v>
      </c>
      <c r="J48" s="17" t="b">
        <v>0</v>
      </c>
      <c r="K48" s="17" t="b">
        <v>0</v>
      </c>
    </row>
    <row r="49" ht="24" customHeight="1">
      <c r="A49" s="18" t="n">
        <v>48</v>
      </c>
      <c r="B49" s="19" t="inlineStr">
        <is>
          <t>쓰레기 봉투</t>
        </is>
      </c>
      <c r="C49" s="18" t="inlineStr">
        <is>
          <t>기타</t>
        </is>
      </c>
      <c r="D49" s="20" t="n">
        <v>50</v>
      </c>
      <c r="E49" s="21" t="n">
        <v>0.1</v>
      </c>
      <c r="F49" s="18" t="inlineStr">
        <is>
          <t>필수</t>
        </is>
      </c>
      <c r="G49" s="19" t="inlineStr">
        <is>
          <t>LNT — 흔적 남기지 않기</t>
        </is>
      </c>
      <c r="H49" s="17" t="b">
        <v>0</v>
      </c>
      <c r="I49" s="17" t="b">
        <v>0</v>
      </c>
      <c r="J49" s="17" t="b">
        <v>0</v>
      </c>
      <c r="K49" s="17" t="b">
        <v>0</v>
      </c>
    </row>
    <row r="50" ht="24" customHeight="1">
      <c r="A50" s="13" t="n">
        <v>49</v>
      </c>
      <c r="B50" s="14" t="inlineStr">
        <is>
          <t>모기 기피제</t>
        </is>
      </c>
      <c r="C50" s="13" t="inlineStr">
        <is>
          <t>기타</t>
        </is>
      </c>
      <c r="D50" s="15" t="n">
        <v>100</v>
      </c>
      <c r="E50" s="16" t="n">
        <v>0.1</v>
      </c>
      <c r="F50" s="13" t="inlineStr">
        <is>
          <t>선택</t>
        </is>
      </c>
      <c r="G50" s="14" t="inlineStr">
        <is>
          <t>펌프 또는 롤온 타입</t>
        </is>
      </c>
      <c r="H50" s="17" t="b">
        <v>0</v>
      </c>
      <c r="I50" s="17" t="b">
        <v>0</v>
      </c>
      <c r="J50" s="17" t="b">
        <v>0</v>
      </c>
      <c r="K50" s="17" t="b">
        <v>0</v>
      </c>
    </row>
    <row r="51" ht="24" customHeight="1">
      <c r="A51" s="18" t="n">
        <v>50</v>
      </c>
      <c r="B51" s="19" t="inlineStr">
        <is>
          <t>수리 키트</t>
        </is>
      </c>
      <c r="C51" s="18" t="inlineStr">
        <is>
          <t>기타</t>
        </is>
      </c>
      <c r="D51" s="20" t="n">
        <v>150</v>
      </c>
      <c r="E51" s="21" t="n">
        <v>0.2</v>
      </c>
      <c r="F51" s="18" t="inlineStr">
        <is>
          <t>선택</t>
        </is>
      </c>
      <c r="G51" s="19" t="inlineStr">
        <is>
          <t>텐트·건조수트 응급 수리</t>
        </is>
      </c>
      <c r="H51" s="17" t="b">
        <v>0</v>
      </c>
      <c r="I51" s="17" t="b">
        <v>0</v>
      </c>
      <c r="J51" s="17" t="b">
        <v>0</v>
      </c>
      <c r="K51" s="17" t="b">
        <v>0</v>
      </c>
    </row>
  </sheetData>
  <pageMargins left="0.75" right="0.75" top="1" bottom="1" header="0.5" footer="0.5"/>
  <legacyDrawing r:id="rIdVmlDb1"/>
</worksheet>
</file>

<file path=xl/worksheets/sheet3.xml><?xml version="1.0" encoding="utf-8"?>
<worksheet xmlns="http://schemas.openxmlformats.org/spreadsheetml/2006/main">
  <sheetPr>
    <tabColor rgb="00E65100"/>
    <outlinePr summaryBelow="1" summaryRight="1"/>
    <pageSetUpPr/>
  </sheetPr>
  <dimension ref="A1:J67"/>
  <sheetViews>
    <sheetView showGridLines="1" workbookViewId="0">
      <pane ySplit="3" topLeftCell="A4" activePane="bottomLeft" state="frozen"/>
      <selection pane="bottomLeft" activeCell="A1" sqref="A1"/>
    </sheetView>
  </sheetViews>
  <sheetFormatPr baseColWidth="8" defaultRowHeight="15"/>
  <cols>
    <col width="4" customWidth="1" min="1" max="1"/>
    <col width="26" customWidth="1" min="2" max="2"/>
    <col width="14" customWidth="1" min="3" max="3"/>
    <col width="11" customWidth="1" min="4" max="4"/>
    <col width="9" customWidth="1" min="5" max="5"/>
    <col width="12" customWidth="1" min="6" max="6"/>
    <col width="12" customWidth="1" min="7" max="7"/>
    <col width="14" customWidth="1" min="8" max="8"/>
    <col width="10" customWidth="1" min="9" max="9"/>
    <col width="20" customWidth="1" min="10" max="10"/>
  </cols>
  <sheetData>
    <row r="1" ht="30" customHeight="1">
      <c r="A1" s="22" t="inlineStr">
        <is>
          <t>🗂 적재 계획 (카약 1 / 카약 2)</t>
        </is>
      </c>
    </row>
    <row r="2" ht="16" customHeight="1">
      <c r="A2" s="23" t="inlineStr">
        <is>
          <t xml:space="preserve">  카약1: 선수=청록(E0F7FA) / 선미=주황(FFF3E0)   카약2: 선수=연두(E8F5E9) / 선미=연노랑(FFF9C4)   미배정=회색(F5F5F5)</t>
        </is>
      </c>
    </row>
    <row r="3" ht="22" customHeight="1">
      <c r="A3" s="24" t="inlineStr">
        <is>
          <t>#</t>
        </is>
      </c>
      <c r="B3" s="24" t="inlineStr">
        <is>
          <t>장비명</t>
        </is>
      </c>
      <c r="C3" s="24" t="inlineStr">
        <is>
          <t>카테고리</t>
        </is>
      </c>
      <c r="D3" s="24" t="inlineStr">
        <is>
          <t>무게(g)</t>
        </is>
      </c>
      <c r="E3" s="24" t="inlineStr">
        <is>
          <t>부피(L)</t>
        </is>
      </c>
      <c r="F3" s="24" t="inlineStr">
        <is>
          <t>카약1배치</t>
        </is>
      </c>
      <c r="G3" s="24" t="inlineStr">
        <is>
          <t>카약2배치</t>
        </is>
      </c>
      <c r="H3" s="24" t="inlineStr">
        <is>
          <t>포장방법</t>
        </is>
      </c>
      <c r="I3" s="24" t="inlineStr">
        <is>
          <t>우선순위</t>
        </is>
      </c>
      <c r="J3" s="24" t="inlineStr">
        <is>
          <t>비고</t>
        </is>
      </c>
    </row>
    <row r="4" ht="20" customHeight="1">
      <c r="A4" s="25" t="n">
        <v>1</v>
      </c>
      <c r="B4" s="26">
        <f>장비_DB!B2</f>
        <v/>
      </c>
      <c r="C4" s="27">
        <f>장비_DB!C2</f>
        <v/>
      </c>
      <c r="D4" s="28">
        <f>장비_DB!D2</f>
        <v/>
      </c>
      <c r="E4" s="29">
        <f>장비_DB!E2</f>
        <v/>
      </c>
      <c r="F4" s="30">
        <f>IF(장비_DB!H2,"선수",IF(장비_DB!I2,"선미",""))</f>
        <v/>
      </c>
      <c r="G4" s="30">
        <f>IF(장비_DB!J2,"선수",IF(장비_DB!K2,"선미",""))</f>
        <v/>
      </c>
      <c r="H4" s="30" t="n"/>
      <c r="I4" s="30" t="n"/>
      <c r="J4" s="31" t="n"/>
    </row>
    <row r="5" ht="20" customHeight="1">
      <c r="A5" s="25" t="n">
        <v>2</v>
      </c>
      <c r="B5" s="26">
        <f>장비_DB!B3</f>
        <v/>
      </c>
      <c r="C5" s="27">
        <f>장비_DB!C3</f>
        <v/>
      </c>
      <c r="D5" s="28">
        <f>장비_DB!D3</f>
        <v/>
      </c>
      <c r="E5" s="29">
        <f>장비_DB!E3</f>
        <v/>
      </c>
      <c r="F5" s="30">
        <f>IF(장비_DB!H3,"선수",IF(장비_DB!I3,"선미",""))</f>
        <v/>
      </c>
      <c r="G5" s="30">
        <f>IF(장비_DB!J3,"선수",IF(장비_DB!K3,"선미",""))</f>
        <v/>
      </c>
      <c r="H5" s="30" t="n"/>
      <c r="I5" s="30" t="n"/>
      <c r="J5" s="31" t="n"/>
    </row>
    <row r="6" ht="20" customHeight="1">
      <c r="A6" s="25" t="n">
        <v>3</v>
      </c>
      <c r="B6" s="26">
        <f>장비_DB!B4</f>
        <v/>
      </c>
      <c r="C6" s="27">
        <f>장비_DB!C4</f>
        <v/>
      </c>
      <c r="D6" s="28">
        <f>장비_DB!D4</f>
        <v/>
      </c>
      <c r="E6" s="29">
        <f>장비_DB!E4</f>
        <v/>
      </c>
      <c r="F6" s="30">
        <f>IF(장비_DB!H4,"선수",IF(장비_DB!I4,"선미",""))</f>
        <v/>
      </c>
      <c r="G6" s="30">
        <f>IF(장비_DB!J4,"선수",IF(장비_DB!K4,"선미",""))</f>
        <v/>
      </c>
      <c r="H6" s="30" t="n"/>
      <c r="I6" s="30" t="n"/>
      <c r="J6" s="31" t="n"/>
    </row>
    <row r="7" ht="20" customHeight="1">
      <c r="A7" s="25" t="n">
        <v>4</v>
      </c>
      <c r="B7" s="26">
        <f>장비_DB!B5</f>
        <v/>
      </c>
      <c r="C7" s="27">
        <f>장비_DB!C5</f>
        <v/>
      </c>
      <c r="D7" s="28">
        <f>장비_DB!D5</f>
        <v/>
      </c>
      <c r="E7" s="29">
        <f>장비_DB!E5</f>
        <v/>
      </c>
      <c r="F7" s="30">
        <f>IF(장비_DB!H5,"선수",IF(장비_DB!I5,"선미",""))</f>
        <v/>
      </c>
      <c r="G7" s="30">
        <f>IF(장비_DB!J5,"선수",IF(장비_DB!K5,"선미",""))</f>
        <v/>
      </c>
      <c r="H7" s="30" t="n"/>
      <c r="I7" s="30" t="n"/>
      <c r="J7" s="31" t="n"/>
    </row>
    <row r="8" ht="20" customHeight="1">
      <c r="A8" s="25" t="n">
        <v>5</v>
      </c>
      <c r="B8" s="26">
        <f>장비_DB!B6</f>
        <v/>
      </c>
      <c r="C8" s="27">
        <f>장비_DB!C6</f>
        <v/>
      </c>
      <c r="D8" s="28">
        <f>장비_DB!D6</f>
        <v/>
      </c>
      <c r="E8" s="29">
        <f>장비_DB!E6</f>
        <v/>
      </c>
      <c r="F8" s="30">
        <f>IF(장비_DB!H6,"선수",IF(장비_DB!I6,"선미",""))</f>
        <v/>
      </c>
      <c r="G8" s="30">
        <f>IF(장비_DB!J6,"선수",IF(장비_DB!K6,"선미",""))</f>
        <v/>
      </c>
      <c r="H8" s="30" t="n"/>
      <c r="I8" s="30" t="n"/>
      <c r="J8" s="31" t="n"/>
    </row>
    <row r="9" ht="20" customHeight="1">
      <c r="A9" s="25" t="n">
        <v>6</v>
      </c>
      <c r="B9" s="26">
        <f>장비_DB!B7</f>
        <v/>
      </c>
      <c r="C9" s="27">
        <f>장비_DB!C7</f>
        <v/>
      </c>
      <c r="D9" s="28">
        <f>장비_DB!D7</f>
        <v/>
      </c>
      <c r="E9" s="29">
        <f>장비_DB!E7</f>
        <v/>
      </c>
      <c r="F9" s="30">
        <f>IF(장비_DB!H7,"선수",IF(장비_DB!I7,"선미",""))</f>
        <v/>
      </c>
      <c r="G9" s="30">
        <f>IF(장비_DB!J7,"선수",IF(장비_DB!K7,"선미",""))</f>
        <v/>
      </c>
      <c r="H9" s="30" t="n"/>
      <c r="I9" s="30" t="n"/>
      <c r="J9" s="31" t="n"/>
    </row>
    <row r="10" ht="20" customHeight="1">
      <c r="A10" s="25" t="n">
        <v>7</v>
      </c>
      <c r="B10" s="26">
        <f>장비_DB!B8</f>
        <v/>
      </c>
      <c r="C10" s="27">
        <f>장비_DB!C8</f>
        <v/>
      </c>
      <c r="D10" s="28">
        <f>장비_DB!D8</f>
        <v/>
      </c>
      <c r="E10" s="29">
        <f>장비_DB!E8</f>
        <v/>
      </c>
      <c r="F10" s="30">
        <f>IF(장비_DB!H8,"선수",IF(장비_DB!I8,"선미",""))</f>
        <v/>
      </c>
      <c r="G10" s="30">
        <f>IF(장비_DB!J8,"선수",IF(장비_DB!K8,"선미",""))</f>
        <v/>
      </c>
      <c r="H10" s="30" t="n"/>
      <c r="I10" s="30" t="n"/>
      <c r="J10" s="31" t="n"/>
    </row>
    <row r="11" ht="20" customHeight="1">
      <c r="A11" s="25" t="n">
        <v>8</v>
      </c>
      <c r="B11" s="26">
        <f>장비_DB!B9</f>
        <v/>
      </c>
      <c r="C11" s="27">
        <f>장비_DB!C9</f>
        <v/>
      </c>
      <c r="D11" s="28">
        <f>장비_DB!D9</f>
        <v/>
      </c>
      <c r="E11" s="29">
        <f>장비_DB!E9</f>
        <v/>
      </c>
      <c r="F11" s="30">
        <f>IF(장비_DB!H9,"선수",IF(장비_DB!I9,"선미",""))</f>
        <v/>
      </c>
      <c r="G11" s="30">
        <f>IF(장비_DB!J9,"선수",IF(장비_DB!K9,"선미",""))</f>
        <v/>
      </c>
      <c r="H11" s="30" t="n"/>
      <c r="I11" s="30" t="n"/>
      <c r="J11" s="31" t="n"/>
    </row>
    <row r="12" ht="20" customHeight="1">
      <c r="A12" s="25" t="n">
        <v>9</v>
      </c>
      <c r="B12" s="26">
        <f>장비_DB!B10</f>
        <v/>
      </c>
      <c r="C12" s="27">
        <f>장비_DB!C10</f>
        <v/>
      </c>
      <c r="D12" s="28">
        <f>장비_DB!D10</f>
        <v/>
      </c>
      <c r="E12" s="29">
        <f>장비_DB!E10</f>
        <v/>
      </c>
      <c r="F12" s="30">
        <f>IF(장비_DB!H10,"선수",IF(장비_DB!I10,"선미",""))</f>
        <v/>
      </c>
      <c r="G12" s="30">
        <f>IF(장비_DB!J10,"선수",IF(장비_DB!K10,"선미",""))</f>
        <v/>
      </c>
      <c r="H12" s="30" t="n"/>
      <c r="I12" s="30" t="n"/>
      <c r="J12" s="31" t="n"/>
    </row>
    <row r="13" ht="20" customHeight="1">
      <c r="A13" s="25" t="n">
        <v>10</v>
      </c>
      <c r="B13" s="26">
        <f>장비_DB!B11</f>
        <v/>
      </c>
      <c r="C13" s="27">
        <f>장비_DB!C11</f>
        <v/>
      </c>
      <c r="D13" s="28">
        <f>장비_DB!D11</f>
        <v/>
      </c>
      <c r="E13" s="29">
        <f>장비_DB!E11</f>
        <v/>
      </c>
      <c r="F13" s="30">
        <f>IF(장비_DB!H11,"선수",IF(장비_DB!I11,"선미",""))</f>
        <v/>
      </c>
      <c r="G13" s="30">
        <f>IF(장비_DB!J11,"선수",IF(장비_DB!K11,"선미",""))</f>
        <v/>
      </c>
      <c r="H13" s="30" t="n"/>
      <c r="I13" s="30" t="n"/>
      <c r="J13" s="31" t="n"/>
    </row>
    <row r="14" ht="20" customHeight="1">
      <c r="A14" s="25" t="n">
        <v>11</v>
      </c>
      <c r="B14" s="26">
        <f>장비_DB!B12</f>
        <v/>
      </c>
      <c r="C14" s="27">
        <f>장비_DB!C12</f>
        <v/>
      </c>
      <c r="D14" s="28">
        <f>장비_DB!D12</f>
        <v/>
      </c>
      <c r="E14" s="29">
        <f>장비_DB!E12</f>
        <v/>
      </c>
      <c r="F14" s="30">
        <f>IF(장비_DB!H12,"선수",IF(장비_DB!I12,"선미",""))</f>
        <v/>
      </c>
      <c r="G14" s="30">
        <f>IF(장비_DB!J12,"선수",IF(장비_DB!K12,"선미",""))</f>
        <v/>
      </c>
      <c r="H14" s="30" t="n"/>
      <c r="I14" s="30" t="n"/>
      <c r="J14" s="31" t="n"/>
    </row>
    <row r="15" ht="20" customHeight="1">
      <c r="A15" s="25" t="n">
        <v>12</v>
      </c>
      <c r="B15" s="26">
        <f>장비_DB!B13</f>
        <v/>
      </c>
      <c r="C15" s="27">
        <f>장비_DB!C13</f>
        <v/>
      </c>
      <c r="D15" s="28">
        <f>장비_DB!D13</f>
        <v/>
      </c>
      <c r="E15" s="29">
        <f>장비_DB!E13</f>
        <v/>
      </c>
      <c r="F15" s="30">
        <f>IF(장비_DB!H13,"선수",IF(장비_DB!I13,"선미",""))</f>
        <v/>
      </c>
      <c r="G15" s="30">
        <f>IF(장비_DB!J13,"선수",IF(장비_DB!K13,"선미",""))</f>
        <v/>
      </c>
      <c r="H15" s="30" t="n"/>
      <c r="I15" s="30" t="n"/>
      <c r="J15" s="31" t="n"/>
    </row>
    <row r="16" ht="20" customHeight="1">
      <c r="A16" s="25" t="n">
        <v>13</v>
      </c>
      <c r="B16" s="26">
        <f>장비_DB!B14</f>
        <v/>
      </c>
      <c r="C16" s="27">
        <f>장비_DB!C14</f>
        <v/>
      </c>
      <c r="D16" s="28">
        <f>장비_DB!D14</f>
        <v/>
      </c>
      <c r="E16" s="29">
        <f>장비_DB!E14</f>
        <v/>
      </c>
      <c r="F16" s="30">
        <f>IF(장비_DB!H14,"선수",IF(장비_DB!I14,"선미",""))</f>
        <v/>
      </c>
      <c r="G16" s="30">
        <f>IF(장비_DB!J14,"선수",IF(장비_DB!K14,"선미",""))</f>
        <v/>
      </c>
      <c r="H16" s="30" t="n"/>
      <c r="I16" s="30" t="n"/>
      <c r="J16" s="31" t="n"/>
    </row>
    <row r="17" ht="20" customHeight="1">
      <c r="A17" s="25" t="n">
        <v>14</v>
      </c>
      <c r="B17" s="26">
        <f>장비_DB!B15</f>
        <v/>
      </c>
      <c r="C17" s="27">
        <f>장비_DB!C15</f>
        <v/>
      </c>
      <c r="D17" s="28">
        <f>장비_DB!D15</f>
        <v/>
      </c>
      <c r="E17" s="29">
        <f>장비_DB!E15</f>
        <v/>
      </c>
      <c r="F17" s="30">
        <f>IF(장비_DB!H15,"선수",IF(장비_DB!I15,"선미",""))</f>
        <v/>
      </c>
      <c r="G17" s="30">
        <f>IF(장비_DB!J15,"선수",IF(장비_DB!K15,"선미",""))</f>
        <v/>
      </c>
      <c r="H17" s="30" t="n"/>
      <c r="I17" s="30" t="n"/>
      <c r="J17" s="31" t="n"/>
    </row>
    <row r="18" ht="20" customHeight="1">
      <c r="A18" s="25" t="n">
        <v>15</v>
      </c>
      <c r="B18" s="26">
        <f>장비_DB!B16</f>
        <v/>
      </c>
      <c r="C18" s="27">
        <f>장비_DB!C16</f>
        <v/>
      </c>
      <c r="D18" s="28">
        <f>장비_DB!D16</f>
        <v/>
      </c>
      <c r="E18" s="29">
        <f>장비_DB!E16</f>
        <v/>
      </c>
      <c r="F18" s="30">
        <f>IF(장비_DB!H16,"선수",IF(장비_DB!I16,"선미",""))</f>
        <v/>
      </c>
      <c r="G18" s="30">
        <f>IF(장비_DB!J16,"선수",IF(장비_DB!K16,"선미",""))</f>
        <v/>
      </c>
      <c r="H18" s="30" t="n"/>
      <c r="I18" s="30" t="n"/>
      <c r="J18" s="31" t="n"/>
    </row>
    <row r="19" ht="20" customHeight="1">
      <c r="A19" s="25" t="n">
        <v>16</v>
      </c>
      <c r="B19" s="26">
        <f>장비_DB!B17</f>
        <v/>
      </c>
      <c r="C19" s="27">
        <f>장비_DB!C17</f>
        <v/>
      </c>
      <c r="D19" s="28">
        <f>장비_DB!D17</f>
        <v/>
      </c>
      <c r="E19" s="29">
        <f>장비_DB!E17</f>
        <v/>
      </c>
      <c r="F19" s="30">
        <f>IF(장비_DB!H17,"선수",IF(장비_DB!I17,"선미",""))</f>
        <v/>
      </c>
      <c r="G19" s="30">
        <f>IF(장비_DB!J17,"선수",IF(장비_DB!K17,"선미",""))</f>
        <v/>
      </c>
      <c r="H19" s="30" t="n"/>
      <c r="I19" s="30" t="n"/>
      <c r="J19" s="31" t="n"/>
    </row>
    <row r="20" ht="20" customHeight="1">
      <c r="A20" s="25" t="n">
        <v>17</v>
      </c>
      <c r="B20" s="26">
        <f>장비_DB!B18</f>
        <v/>
      </c>
      <c r="C20" s="27">
        <f>장비_DB!C18</f>
        <v/>
      </c>
      <c r="D20" s="28">
        <f>장비_DB!D18</f>
        <v/>
      </c>
      <c r="E20" s="29">
        <f>장비_DB!E18</f>
        <v/>
      </c>
      <c r="F20" s="30">
        <f>IF(장비_DB!H18,"선수",IF(장비_DB!I18,"선미",""))</f>
        <v/>
      </c>
      <c r="G20" s="30">
        <f>IF(장비_DB!J18,"선수",IF(장비_DB!K18,"선미",""))</f>
        <v/>
      </c>
      <c r="H20" s="30" t="n"/>
      <c r="I20" s="30" t="n"/>
      <c r="J20" s="31" t="n"/>
    </row>
    <row r="21" ht="20" customHeight="1">
      <c r="A21" s="25" t="n">
        <v>18</v>
      </c>
      <c r="B21" s="26">
        <f>장비_DB!B19</f>
        <v/>
      </c>
      <c r="C21" s="27">
        <f>장비_DB!C19</f>
        <v/>
      </c>
      <c r="D21" s="28">
        <f>장비_DB!D19</f>
        <v/>
      </c>
      <c r="E21" s="29">
        <f>장비_DB!E19</f>
        <v/>
      </c>
      <c r="F21" s="30">
        <f>IF(장비_DB!H19,"선수",IF(장비_DB!I19,"선미",""))</f>
        <v/>
      </c>
      <c r="G21" s="30">
        <f>IF(장비_DB!J19,"선수",IF(장비_DB!K19,"선미",""))</f>
        <v/>
      </c>
      <c r="H21" s="30" t="n"/>
      <c r="I21" s="30" t="n"/>
      <c r="J21" s="31" t="n"/>
    </row>
    <row r="22" ht="20" customHeight="1">
      <c r="A22" s="25" t="n">
        <v>19</v>
      </c>
      <c r="B22" s="26">
        <f>장비_DB!B20</f>
        <v/>
      </c>
      <c r="C22" s="27">
        <f>장비_DB!C20</f>
        <v/>
      </c>
      <c r="D22" s="28">
        <f>장비_DB!D20</f>
        <v/>
      </c>
      <c r="E22" s="29">
        <f>장비_DB!E20</f>
        <v/>
      </c>
      <c r="F22" s="30">
        <f>IF(장비_DB!H20,"선수",IF(장비_DB!I20,"선미",""))</f>
        <v/>
      </c>
      <c r="G22" s="30">
        <f>IF(장비_DB!J20,"선수",IF(장비_DB!K20,"선미",""))</f>
        <v/>
      </c>
      <c r="H22" s="30" t="n"/>
      <c r="I22" s="30" t="n"/>
      <c r="J22" s="31" t="n"/>
    </row>
    <row r="23" ht="20" customHeight="1">
      <c r="A23" s="25" t="n">
        <v>20</v>
      </c>
      <c r="B23" s="26">
        <f>장비_DB!B21</f>
        <v/>
      </c>
      <c r="C23" s="27">
        <f>장비_DB!C21</f>
        <v/>
      </c>
      <c r="D23" s="28">
        <f>장비_DB!D21</f>
        <v/>
      </c>
      <c r="E23" s="29">
        <f>장비_DB!E21</f>
        <v/>
      </c>
      <c r="F23" s="30">
        <f>IF(장비_DB!H21,"선수",IF(장비_DB!I21,"선미",""))</f>
        <v/>
      </c>
      <c r="G23" s="30">
        <f>IF(장비_DB!J21,"선수",IF(장비_DB!K21,"선미",""))</f>
        <v/>
      </c>
      <c r="H23" s="30" t="n"/>
      <c r="I23" s="30" t="n"/>
      <c r="J23" s="31" t="n"/>
    </row>
    <row r="24" ht="20" customHeight="1">
      <c r="A24" s="25" t="n">
        <v>21</v>
      </c>
      <c r="B24" s="26">
        <f>장비_DB!B22</f>
        <v/>
      </c>
      <c r="C24" s="27">
        <f>장비_DB!C22</f>
        <v/>
      </c>
      <c r="D24" s="28">
        <f>장비_DB!D22</f>
        <v/>
      </c>
      <c r="E24" s="29">
        <f>장비_DB!E22</f>
        <v/>
      </c>
      <c r="F24" s="30">
        <f>IF(장비_DB!H22,"선수",IF(장비_DB!I22,"선미",""))</f>
        <v/>
      </c>
      <c r="G24" s="30">
        <f>IF(장비_DB!J22,"선수",IF(장비_DB!K22,"선미",""))</f>
        <v/>
      </c>
      <c r="H24" s="30" t="n"/>
      <c r="I24" s="30" t="n"/>
      <c r="J24" s="31" t="n"/>
    </row>
    <row r="25" ht="20" customHeight="1">
      <c r="A25" s="25" t="n">
        <v>22</v>
      </c>
      <c r="B25" s="26">
        <f>장비_DB!B23</f>
        <v/>
      </c>
      <c r="C25" s="27">
        <f>장비_DB!C23</f>
        <v/>
      </c>
      <c r="D25" s="28">
        <f>장비_DB!D23</f>
        <v/>
      </c>
      <c r="E25" s="29">
        <f>장비_DB!E23</f>
        <v/>
      </c>
      <c r="F25" s="30">
        <f>IF(장비_DB!H23,"선수",IF(장비_DB!I23,"선미",""))</f>
        <v/>
      </c>
      <c r="G25" s="30">
        <f>IF(장비_DB!J23,"선수",IF(장비_DB!K23,"선미",""))</f>
        <v/>
      </c>
      <c r="H25" s="30" t="n"/>
      <c r="I25" s="30" t="n"/>
      <c r="J25" s="31" t="n"/>
    </row>
    <row r="26" ht="20" customHeight="1">
      <c r="A26" s="25" t="n">
        <v>23</v>
      </c>
      <c r="B26" s="26">
        <f>장비_DB!B24</f>
        <v/>
      </c>
      <c r="C26" s="27">
        <f>장비_DB!C24</f>
        <v/>
      </c>
      <c r="D26" s="28">
        <f>장비_DB!D24</f>
        <v/>
      </c>
      <c r="E26" s="29">
        <f>장비_DB!E24</f>
        <v/>
      </c>
      <c r="F26" s="30">
        <f>IF(장비_DB!H24,"선수",IF(장비_DB!I24,"선미",""))</f>
        <v/>
      </c>
      <c r="G26" s="30">
        <f>IF(장비_DB!J24,"선수",IF(장비_DB!K24,"선미",""))</f>
        <v/>
      </c>
      <c r="H26" s="30" t="n"/>
      <c r="I26" s="30" t="n"/>
      <c r="J26" s="31" t="n"/>
    </row>
    <row r="27" ht="20" customHeight="1">
      <c r="A27" s="25" t="n">
        <v>24</v>
      </c>
      <c r="B27" s="26">
        <f>장비_DB!B25</f>
        <v/>
      </c>
      <c r="C27" s="27">
        <f>장비_DB!C25</f>
        <v/>
      </c>
      <c r="D27" s="28">
        <f>장비_DB!D25</f>
        <v/>
      </c>
      <c r="E27" s="29">
        <f>장비_DB!E25</f>
        <v/>
      </c>
      <c r="F27" s="30">
        <f>IF(장비_DB!H25,"선수",IF(장비_DB!I25,"선미",""))</f>
        <v/>
      </c>
      <c r="G27" s="30">
        <f>IF(장비_DB!J25,"선수",IF(장비_DB!K25,"선미",""))</f>
        <v/>
      </c>
      <c r="H27" s="30" t="n"/>
      <c r="I27" s="30" t="n"/>
      <c r="J27" s="31" t="n"/>
    </row>
    <row r="28" ht="20" customHeight="1">
      <c r="A28" s="25" t="n">
        <v>25</v>
      </c>
      <c r="B28" s="26">
        <f>장비_DB!B26</f>
        <v/>
      </c>
      <c r="C28" s="27">
        <f>장비_DB!C26</f>
        <v/>
      </c>
      <c r="D28" s="28">
        <f>장비_DB!D26</f>
        <v/>
      </c>
      <c r="E28" s="29">
        <f>장비_DB!E26</f>
        <v/>
      </c>
      <c r="F28" s="30">
        <f>IF(장비_DB!H26,"선수",IF(장비_DB!I26,"선미",""))</f>
        <v/>
      </c>
      <c r="G28" s="30">
        <f>IF(장비_DB!J26,"선수",IF(장비_DB!K26,"선미",""))</f>
        <v/>
      </c>
      <c r="H28" s="30" t="n"/>
      <c r="I28" s="30" t="n"/>
      <c r="J28" s="31" t="n"/>
    </row>
    <row r="29" ht="20" customHeight="1">
      <c r="A29" s="25" t="n">
        <v>26</v>
      </c>
      <c r="B29" s="26">
        <f>장비_DB!B27</f>
        <v/>
      </c>
      <c r="C29" s="27">
        <f>장비_DB!C27</f>
        <v/>
      </c>
      <c r="D29" s="28">
        <f>장비_DB!D27</f>
        <v/>
      </c>
      <c r="E29" s="29">
        <f>장비_DB!E27</f>
        <v/>
      </c>
      <c r="F29" s="30">
        <f>IF(장비_DB!H27,"선수",IF(장비_DB!I27,"선미",""))</f>
        <v/>
      </c>
      <c r="G29" s="30">
        <f>IF(장비_DB!J27,"선수",IF(장비_DB!K27,"선미",""))</f>
        <v/>
      </c>
      <c r="H29" s="30" t="n"/>
      <c r="I29" s="30" t="n"/>
      <c r="J29" s="31" t="n"/>
    </row>
    <row r="30" ht="20" customHeight="1">
      <c r="A30" s="25" t="n">
        <v>27</v>
      </c>
      <c r="B30" s="26">
        <f>장비_DB!B28</f>
        <v/>
      </c>
      <c r="C30" s="27">
        <f>장비_DB!C28</f>
        <v/>
      </c>
      <c r="D30" s="28">
        <f>장비_DB!D28</f>
        <v/>
      </c>
      <c r="E30" s="29">
        <f>장비_DB!E28</f>
        <v/>
      </c>
      <c r="F30" s="30">
        <f>IF(장비_DB!H28,"선수",IF(장비_DB!I28,"선미",""))</f>
        <v/>
      </c>
      <c r="G30" s="30">
        <f>IF(장비_DB!J28,"선수",IF(장비_DB!K28,"선미",""))</f>
        <v/>
      </c>
      <c r="H30" s="30" t="n"/>
      <c r="I30" s="30" t="n"/>
      <c r="J30" s="31" t="n"/>
    </row>
    <row r="31" ht="20" customHeight="1">
      <c r="A31" s="25" t="n">
        <v>28</v>
      </c>
      <c r="B31" s="26">
        <f>장비_DB!B29</f>
        <v/>
      </c>
      <c r="C31" s="27">
        <f>장비_DB!C29</f>
        <v/>
      </c>
      <c r="D31" s="28">
        <f>장비_DB!D29</f>
        <v/>
      </c>
      <c r="E31" s="29">
        <f>장비_DB!E29</f>
        <v/>
      </c>
      <c r="F31" s="30">
        <f>IF(장비_DB!H29,"선수",IF(장비_DB!I29,"선미",""))</f>
        <v/>
      </c>
      <c r="G31" s="30">
        <f>IF(장비_DB!J29,"선수",IF(장비_DB!K29,"선미",""))</f>
        <v/>
      </c>
      <c r="H31" s="30" t="n"/>
      <c r="I31" s="30" t="n"/>
      <c r="J31" s="31" t="n"/>
    </row>
    <row r="32" ht="20" customHeight="1">
      <c r="A32" s="25" t="n">
        <v>29</v>
      </c>
      <c r="B32" s="26">
        <f>장비_DB!B30</f>
        <v/>
      </c>
      <c r="C32" s="27">
        <f>장비_DB!C30</f>
        <v/>
      </c>
      <c r="D32" s="28">
        <f>장비_DB!D30</f>
        <v/>
      </c>
      <c r="E32" s="29">
        <f>장비_DB!E30</f>
        <v/>
      </c>
      <c r="F32" s="30">
        <f>IF(장비_DB!H30,"선수",IF(장비_DB!I30,"선미",""))</f>
        <v/>
      </c>
      <c r="G32" s="30">
        <f>IF(장비_DB!J30,"선수",IF(장비_DB!K30,"선미",""))</f>
        <v/>
      </c>
      <c r="H32" s="30" t="n"/>
      <c r="I32" s="30" t="n"/>
      <c r="J32" s="31" t="n"/>
    </row>
    <row r="33" ht="20" customHeight="1">
      <c r="A33" s="25" t="n">
        <v>30</v>
      </c>
      <c r="B33" s="26">
        <f>장비_DB!B31</f>
        <v/>
      </c>
      <c r="C33" s="27">
        <f>장비_DB!C31</f>
        <v/>
      </c>
      <c r="D33" s="28">
        <f>장비_DB!D31</f>
        <v/>
      </c>
      <c r="E33" s="29">
        <f>장비_DB!E31</f>
        <v/>
      </c>
      <c r="F33" s="30">
        <f>IF(장비_DB!H31,"선수",IF(장비_DB!I31,"선미",""))</f>
        <v/>
      </c>
      <c r="G33" s="30">
        <f>IF(장비_DB!J31,"선수",IF(장비_DB!K31,"선미",""))</f>
        <v/>
      </c>
      <c r="H33" s="30" t="n"/>
      <c r="I33" s="30" t="n"/>
      <c r="J33" s="31" t="n"/>
    </row>
    <row r="34" ht="20" customHeight="1">
      <c r="A34" s="25" t="n">
        <v>31</v>
      </c>
      <c r="B34" s="26">
        <f>장비_DB!B32</f>
        <v/>
      </c>
      <c r="C34" s="27">
        <f>장비_DB!C32</f>
        <v/>
      </c>
      <c r="D34" s="28">
        <f>장비_DB!D32</f>
        <v/>
      </c>
      <c r="E34" s="29">
        <f>장비_DB!E32</f>
        <v/>
      </c>
      <c r="F34" s="30">
        <f>IF(장비_DB!H32,"선수",IF(장비_DB!I32,"선미",""))</f>
        <v/>
      </c>
      <c r="G34" s="30">
        <f>IF(장비_DB!J32,"선수",IF(장비_DB!K32,"선미",""))</f>
        <v/>
      </c>
      <c r="H34" s="30" t="n"/>
      <c r="I34" s="30" t="n"/>
      <c r="J34" s="31" t="n"/>
    </row>
    <row r="35" ht="20" customHeight="1">
      <c r="A35" s="25" t="n">
        <v>32</v>
      </c>
      <c r="B35" s="26">
        <f>장비_DB!B33</f>
        <v/>
      </c>
      <c r="C35" s="27">
        <f>장비_DB!C33</f>
        <v/>
      </c>
      <c r="D35" s="28">
        <f>장비_DB!D33</f>
        <v/>
      </c>
      <c r="E35" s="29">
        <f>장비_DB!E33</f>
        <v/>
      </c>
      <c r="F35" s="30">
        <f>IF(장비_DB!H33,"선수",IF(장비_DB!I33,"선미",""))</f>
        <v/>
      </c>
      <c r="G35" s="30">
        <f>IF(장비_DB!J33,"선수",IF(장비_DB!K33,"선미",""))</f>
        <v/>
      </c>
      <c r="H35" s="30" t="n"/>
      <c r="I35" s="30" t="n"/>
      <c r="J35" s="31" t="n"/>
    </row>
    <row r="36" ht="20" customHeight="1">
      <c r="A36" s="25" t="n">
        <v>33</v>
      </c>
      <c r="B36" s="26">
        <f>장비_DB!B34</f>
        <v/>
      </c>
      <c r="C36" s="27">
        <f>장비_DB!C34</f>
        <v/>
      </c>
      <c r="D36" s="28">
        <f>장비_DB!D34</f>
        <v/>
      </c>
      <c r="E36" s="29">
        <f>장비_DB!E34</f>
        <v/>
      </c>
      <c r="F36" s="30">
        <f>IF(장비_DB!H34,"선수",IF(장비_DB!I34,"선미",""))</f>
        <v/>
      </c>
      <c r="G36" s="30">
        <f>IF(장비_DB!J34,"선수",IF(장비_DB!K34,"선미",""))</f>
        <v/>
      </c>
      <c r="H36" s="30" t="n"/>
      <c r="I36" s="30" t="n"/>
      <c r="J36" s="31" t="n"/>
    </row>
    <row r="37" ht="20" customHeight="1">
      <c r="A37" s="25" t="n">
        <v>34</v>
      </c>
      <c r="B37" s="26">
        <f>장비_DB!B35</f>
        <v/>
      </c>
      <c r="C37" s="27">
        <f>장비_DB!C35</f>
        <v/>
      </c>
      <c r="D37" s="28">
        <f>장비_DB!D35</f>
        <v/>
      </c>
      <c r="E37" s="29">
        <f>장비_DB!E35</f>
        <v/>
      </c>
      <c r="F37" s="30">
        <f>IF(장비_DB!H35,"선수",IF(장비_DB!I35,"선미",""))</f>
        <v/>
      </c>
      <c r="G37" s="30">
        <f>IF(장비_DB!J35,"선수",IF(장비_DB!K35,"선미",""))</f>
        <v/>
      </c>
      <c r="H37" s="30" t="n"/>
      <c r="I37" s="30" t="n"/>
      <c r="J37" s="31" t="n"/>
    </row>
    <row r="38" ht="20" customHeight="1">
      <c r="A38" s="25" t="n">
        <v>35</v>
      </c>
      <c r="B38" s="26">
        <f>장비_DB!B36</f>
        <v/>
      </c>
      <c r="C38" s="27">
        <f>장비_DB!C36</f>
        <v/>
      </c>
      <c r="D38" s="28">
        <f>장비_DB!D36</f>
        <v/>
      </c>
      <c r="E38" s="29">
        <f>장비_DB!E36</f>
        <v/>
      </c>
      <c r="F38" s="30">
        <f>IF(장비_DB!H36,"선수",IF(장비_DB!I36,"선미",""))</f>
        <v/>
      </c>
      <c r="G38" s="30">
        <f>IF(장비_DB!J36,"선수",IF(장비_DB!K36,"선미",""))</f>
        <v/>
      </c>
      <c r="H38" s="30" t="n"/>
      <c r="I38" s="30" t="n"/>
      <c r="J38" s="31" t="n"/>
    </row>
    <row r="39" ht="20" customHeight="1">
      <c r="A39" s="25" t="n">
        <v>36</v>
      </c>
      <c r="B39" s="26">
        <f>장비_DB!B37</f>
        <v/>
      </c>
      <c r="C39" s="27">
        <f>장비_DB!C37</f>
        <v/>
      </c>
      <c r="D39" s="28">
        <f>장비_DB!D37</f>
        <v/>
      </c>
      <c r="E39" s="29">
        <f>장비_DB!E37</f>
        <v/>
      </c>
      <c r="F39" s="30">
        <f>IF(장비_DB!H37,"선수",IF(장비_DB!I37,"선미",""))</f>
        <v/>
      </c>
      <c r="G39" s="30">
        <f>IF(장비_DB!J37,"선수",IF(장비_DB!K37,"선미",""))</f>
        <v/>
      </c>
      <c r="H39" s="30" t="n"/>
      <c r="I39" s="30" t="n"/>
      <c r="J39" s="31" t="n"/>
    </row>
    <row r="40" ht="20" customHeight="1">
      <c r="A40" s="25" t="n">
        <v>37</v>
      </c>
      <c r="B40" s="26">
        <f>장비_DB!B38</f>
        <v/>
      </c>
      <c r="C40" s="27">
        <f>장비_DB!C38</f>
        <v/>
      </c>
      <c r="D40" s="28">
        <f>장비_DB!D38</f>
        <v/>
      </c>
      <c r="E40" s="29">
        <f>장비_DB!E38</f>
        <v/>
      </c>
      <c r="F40" s="30">
        <f>IF(장비_DB!H38,"선수",IF(장비_DB!I38,"선미",""))</f>
        <v/>
      </c>
      <c r="G40" s="30">
        <f>IF(장비_DB!J38,"선수",IF(장비_DB!K38,"선미",""))</f>
        <v/>
      </c>
      <c r="H40" s="30" t="n"/>
      <c r="I40" s="30" t="n"/>
      <c r="J40" s="31" t="n"/>
    </row>
    <row r="41" ht="20" customHeight="1">
      <c r="A41" s="25" t="n">
        <v>38</v>
      </c>
      <c r="B41" s="26">
        <f>장비_DB!B39</f>
        <v/>
      </c>
      <c r="C41" s="27">
        <f>장비_DB!C39</f>
        <v/>
      </c>
      <c r="D41" s="28">
        <f>장비_DB!D39</f>
        <v/>
      </c>
      <c r="E41" s="29">
        <f>장비_DB!E39</f>
        <v/>
      </c>
      <c r="F41" s="30">
        <f>IF(장비_DB!H39,"선수",IF(장비_DB!I39,"선미",""))</f>
        <v/>
      </c>
      <c r="G41" s="30">
        <f>IF(장비_DB!J39,"선수",IF(장비_DB!K39,"선미",""))</f>
        <v/>
      </c>
      <c r="H41" s="30" t="n"/>
      <c r="I41" s="30" t="n"/>
      <c r="J41" s="31" t="n"/>
    </row>
    <row r="42" ht="20" customHeight="1">
      <c r="A42" s="25" t="n">
        <v>39</v>
      </c>
      <c r="B42" s="26">
        <f>장비_DB!B40</f>
        <v/>
      </c>
      <c r="C42" s="27">
        <f>장비_DB!C40</f>
        <v/>
      </c>
      <c r="D42" s="28">
        <f>장비_DB!D40</f>
        <v/>
      </c>
      <c r="E42" s="29">
        <f>장비_DB!E40</f>
        <v/>
      </c>
      <c r="F42" s="30">
        <f>IF(장비_DB!H40,"선수",IF(장비_DB!I40,"선미",""))</f>
        <v/>
      </c>
      <c r="G42" s="30">
        <f>IF(장비_DB!J40,"선수",IF(장비_DB!K40,"선미",""))</f>
        <v/>
      </c>
      <c r="H42" s="30" t="n"/>
      <c r="I42" s="30" t="n"/>
      <c r="J42" s="31" t="n"/>
    </row>
    <row r="43" ht="20" customHeight="1">
      <c r="A43" s="25" t="n">
        <v>40</v>
      </c>
      <c r="B43" s="26">
        <f>장비_DB!B41</f>
        <v/>
      </c>
      <c r="C43" s="27">
        <f>장비_DB!C41</f>
        <v/>
      </c>
      <c r="D43" s="28">
        <f>장비_DB!D41</f>
        <v/>
      </c>
      <c r="E43" s="29">
        <f>장비_DB!E41</f>
        <v/>
      </c>
      <c r="F43" s="30">
        <f>IF(장비_DB!H41,"선수",IF(장비_DB!I41,"선미",""))</f>
        <v/>
      </c>
      <c r="G43" s="30">
        <f>IF(장비_DB!J41,"선수",IF(장비_DB!K41,"선미",""))</f>
        <v/>
      </c>
      <c r="H43" s="30" t="n"/>
      <c r="I43" s="30" t="n"/>
      <c r="J43" s="31" t="n"/>
    </row>
    <row r="44" ht="20" customHeight="1">
      <c r="A44" s="25" t="n">
        <v>41</v>
      </c>
      <c r="B44" s="26">
        <f>장비_DB!B42</f>
        <v/>
      </c>
      <c r="C44" s="27">
        <f>장비_DB!C42</f>
        <v/>
      </c>
      <c r="D44" s="28">
        <f>장비_DB!D42</f>
        <v/>
      </c>
      <c r="E44" s="29">
        <f>장비_DB!E42</f>
        <v/>
      </c>
      <c r="F44" s="30">
        <f>IF(장비_DB!H42,"선수",IF(장비_DB!I42,"선미",""))</f>
        <v/>
      </c>
      <c r="G44" s="30">
        <f>IF(장비_DB!J42,"선수",IF(장비_DB!K42,"선미",""))</f>
        <v/>
      </c>
      <c r="H44" s="30" t="n"/>
      <c r="I44" s="30" t="n"/>
      <c r="J44" s="31" t="n"/>
    </row>
    <row r="45" ht="20" customHeight="1">
      <c r="A45" s="25" t="n">
        <v>42</v>
      </c>
      <c r="B45" s="26">
        <f>장비_DB!B43</f>
        <v/>
      </c>
      <c r="C45" s="27">
        <f>장비_DB!C43</f>
        <v/>
      </c>
      <c r="D45" s="28">
        <f>장비_DB!D43</f>
        <v/>
      </c>
      <c r="E45" s="29">
        <f>장비_DB!E43</f>
        <v/>
      </c>
      <c r="F45" s="30">
        <f>IF(장비_DB!H43,"선수",IF(장비_DB!I43,"선미",""))</f>
        <v/>
      </c>
      <c r="G45" s="30">
        <f>IF(장비_DB!J43,"선수",IF(장비_DB!K43,"선미",""))</f>
        <v/>
      </c>
      <c r="H45" s="30" t="n"/>
      <c r="I45" s="30" t="n"/>
      <c r="J45" s="31" t="n"/>
    </row>
    <row r="46" ht="20" customHeight="1">
      <c r="A46" s="25" t="n">
        <v>43</v>
      </c>
      <c r="B46" s="26">
        <f>장비_DB!B44</f>
        <v/>
      </c>
      <c r="C46" s="27">
        <f>장비_DB!C44</f>
        <v/>
      </c>
      <c r="D46" s="28">
        <f>장비_DB!D44</f>
        <v/>
      </c>
      <c r="E46" s="29">
        <f>장비_DB!E44</f>
        <v/>
      </c>
      <c r="F46" s="30">
        <f>IF(장비_DB!H44,"선수",IF(장비_DB!I44,"선미",""))</f>
        <v/>
      </c>
      <c r="G46" s="30">
        <f>IF(장비_DB!J44,"선수",IF(장비_DB!K44,"선미",""))</f>
        <v/>
      </c>
      <c r="H46" s="30" t="n"/>
      <c r="I46" s="30" t="n"/>
      <c r="J46" s="31" t="n"/>
    </row>
    <row r="47" ht="20" customHeight="1">
      <c r="A47" s="25" t="n">
        <v>44</v>
      </c>
      <c r="B47" s="26">
        <f>장비_DB!B45</f>
        <v/>
      </c>
      <c r="C47" s="27">
        <f>장비_DB!C45</f>
        <v/>
      </c>
      <c r="D47" s="28">
        <f>장비_DB!D45</f>
        <v/>
      </c>
      <c r="E47" s="29">
        <f>장비_DB!E45</f>
        <v/>
      </c>
      <c r="F47" s="30">
        <f>IF(장비_DB!H45,"선수",IF(장비_DB!I45,"선미",""))</f>
        <v/>
      </c>
      <c r="G47" s="30">
        <f>IF(장비_DB!J45,"선수",IF(장비_DB!K45,"선미",""))</f>
        <v/>
      </c>
      <c r="H47" s="30" t="n"/>
      <c r="I47" s="30" t="n"/>
      <c r="J47" s="31" t="n"/>
    </row>
    <row r="48" ht="20" customHeight="1">
      <c r="A48" s="25" t="n">
        <v>45</v>
      </c>
      <c r="B48" s="26">
        <f>장비_DB!B46</f>
        <v/>
      </c>
      <c r="C48" s="27">
        <f>장비_DB!C46</f>
        <v/>
      </c>
      <c r="D48" s="28">
        <f>장비_DB!D46</f>
        <v/>
      </c>
      <c r="E48" s="29">
        <f>장비_DB!E46</f>
        <v/>
      </c>
      <c r="F48" s="30">
        <f>IF(장비_DB!H46,"선수",IF(장비_DB!I46,"선미",""))</f>
        <v/>
      </c>
      <c r="G48" s="30">
        <f>IF(장비_DB!J46,"선수",IF(장비_DB!K46,"선미",""))</f>
        <v/>
      </c>
      <c r="H48" s="30" t="n"/>
      <c r="I48" s="30" t="n"/>
      <c r="J48" s="31" t="n"/>
    </row>
    <row r="49" ht="20" customHeight="1">
      <c r="A49" s="25" t="n">
        <v>46</v>
      </c>
      <c r="B49" s="26">
        <f>장비_DB!B47</f>
        <v/>
      </c>
      <c r="C49" s="27">
        <f>장비_DB!C47</f>
        <v/>
      </c>
      <c r="D49" s="28">
        <f>장비_DB!D47</f>
        <v/>
      </c>
      <c r="E49" s="29">
        <f>장비_DB!E47</f>
        <v/>
      </c>
      <c r="F49" s="30">
        <f>IF(장비_DB!H47,"선수",IF(장비_DB!I47,"선미",""))</f>
        <v/>
      </c>
      <c r="G49" s="30">
        <f>IF(장비_DB!J47,"선수",IF(장비_DB!K47,"선미",""))</f>
        <v/>
      </c>
      <c r="H49" s="30" t="n"/>
      <c r="I49" s="30" t="n"/>
      <c r="J49" s="31" t="n"/>
    </row>
    <row r="50" ht="20" customHeight="1">
      <c r="A50" s="25" t="n">
        <v>47</v>
      </c>
      <c r="B50" s="26">
        <f>장비_DB!B48</f>
        <v/>
      </c>
      <c r="C50" s="27">
        <f>장비_DB!C48</f>
        <v/>
      </c>
      <c r="D50" s="28">
        <f>장비_DB!D48</f>
        <v/>
      </c>
      <c r="E50" s="29">
        <f>장비_DB!E48</f>
        <v/>
      </c>
      <c r="F50" s="30">
        <f>IF(장비_DB!H48,"선수",IF(장비_DB!I48,"선미",""))</f>
        <v/>
      </c>
      <c r="G50" s="30">
        <f>IF(장비_DB!J48,"선수",IF(장비_DB!K48,"선미",""))</f>
        <v/>
      </c>
      <c r="H50" s="30" t="n"/>
      <c r="I50" s="30" t="n"/>
      <c r="J50" s="31" t="n"/>
    </row>
    <row r="51" ht="20" customHeight="1">
      <c r="A51" s="25" t="n">
        <v>48</v>
      </c>
      <c r="B51" s="26">
        <f>장비_DB!B49</f>
        <v/>
      </c>
      <c r="C51" s="27">
        <f>장비_DB!C49</f>
        <v/>
      </c>
      <c r="D51" s="28">
        <f>장비_DB!D49</f>
        <v/>
      </c>
      <c r="E51" s="29">
        <f>장비_DB!E49</f>
        <v/>
      </c>
      <c r="F51" s="30">
        <f>IF(장비_DB!H49,"선수",IF(장비_DB!I49,"선미",""))</f>
        <v/>
      </c>
      <c r="G51" s="30">
        <f>IF(장비_DB!J49,"선수",IF(장비_DB!K49,"선미",""))</f>
        <v/>
      </c>
      <c r="H51" s="30" t="n"/>
      <c r="I51" s="30" t="n"/>
      <c r="J51" s="31" t="n"/>
    </row>
    <row r="52" ht="20" customHeight="1">
      <c r="A52" s="25" t="n">
        <v>49</v>
      </c>
      <c r="B52" s="26">
        <f>장비_DB!B50</f>
        <v/>
      </c>
      <c r="C52" s="27">
        <f>장비_DB!C50</f>
        <v/>
      </c>
      <c r="D52" s="28">
        <f>장비_DB!D50</f>
        <v/>
      </c>
      <c r="E52" s="29">
        <f>장비_DB!E50</f>
        <v/>
      </c>
      <c r="F52" s="30">
        <f>IF(장비_DB!H50,"선수",IF(장비_DB!I50,"선미",""))</f>
        <v/>
      </c>
      <c r="G52" s="30">
        <f>IF(장비_DB!J50,"선수",IF(장비_DB!K50,"선미",""))</f>
        <v/>
      </c>
      <c r="H52" s="30" t="n"/>
      <c r="I52" s="30" t="n"/>
      <c r="J52" s="31" t="n"/>
    </row>
    <row r="53" ht="20" customHeight="1">
      <c r="A53" s="25" t="n">
        <v>50</v>
      </c>
      <c r="B53" s="26">
        <f>장비_DB!B51</f>
        <v/>
      </c>
      <c r="C53" s="27">
        <f>장비_DB!C51</f>
        <v/>
      </c>
      <c r="D53" s="28">
        <f>장비_DB!D51</f>
        <v/>
      </c>
      <c r="E53" s="29">
        <f>장비_DB!E51</f>
        <v/>
      </c>
      <c r="F53" s="30">
        <f>IF(장비_DB!H51,"선수",IF(장비_DB!I51,"선미",""))</f>
        <v/>
      </c>
      <c r="G53" s="30">
        <f>IF(장비_DB!J51,"선수",IF(장비_DB!K51,"선미",""))</f>
        <v/>
      </c>
      <c r="H53" s="30" t="n"/>
      <c r="I53" s="30" t="n"/>
      <c r="J53" s="31" t="n"/>
    </row>
    <row r="54" ht="26" customHeight="1">
      <c r="A54" s="32" t="inlineStr">
        <is>
          <t>⚖ 무게 &amp; 부피 균형 요약</t>
        </is>
      </c>
    </row>
    <row r="55" ht="18" customHeight="1">
      <c r="B55" s="33" t="inlineStr">
        <is>
          <t>카약1 선수</t>
        </is>
      </c>
      <c r="C55" s="34" t="inlineStr">
        <is>
          <t>카약1 선미</t>
        </is>
      </c>
      <c r="D55" s="35" t="inlineStr">
        <is>
          <t>카약2 선수</t>
        </is>
      </c>
      <c r="E55" s="36" t="inlineStr">
        <is>
          <t>카약2 선미</t>
        </is>
      </c>
    </row>
    <row r="56" ht="20" customHeight="1">
      <c r="A56" s="37" t="inlineStr">
        <is>
          <t>적재 중량 합계 (kg)</t>
        </is>
      </c>
      <c r="B56" s="38">
        <f>SUMIF(F4:F53,"선수",D4:D53)/1000</f>
        <v/>
      </c>
      <c r="C56" s="38">
        <f>SUMIF(F4:F53,"선미",D4:D53)/1000</f>
        <v/>
      </c>
      <c r="D56" s="38">
        <f>SUMIF(G4:G53,"선수",D4:D53)/1000</f>
        <v/>
      </c>
      <c r="E56" s="38">
        <f>SUMIF(G4:G53,"선미",D4:D53)/1000</f>
        <v/>
      </c>
    </row>
    <row r="57" ht="20" customHeight="1">
      <c r="A57" s="39" t="inlineStr">
        <is>
          <t>최대 허용 중량 (kg)</t>
        </is>
      </c>
      <c r="B57" s="40">
        <f>카약_설정!C5</f>
        <v/>
      </c>
      <c r="C57" s="40">
        <f>카약_설정!C8</f>
        <v/>
      </c>
      <c r="D57" s="40">
        <f>카약_설정!F5</f>
        <v/>
      </c>
      <c r="E57" s="40">
        <f>카약_설정!F8</f>
        <v/>
      </c>
    </row>
    <row r="58" ht="20" customHeight="1">
      <c r="A58" s="37" t="inlineStr">
        <is>
          <t>중량 사용률 (%)</t>
        </is>
      </c>
      <c r="B58" s="41">
        <f>IF(카약_설정!C5&gt;0,B56/카약_설정!C5,"")</f>
        <v/>
      </c>
      <c r="C58" s="41">
        <f>IF(카약_설정!C8&gt;0,C56/카약_설정!C8,"")</f>
        <v/>
      </c>
      <c r="D58" s="41">
        <f>IF(카약_설정!F5&gt;0,D56/카약_설정!F5,"")</f>
        <v/>
      </c>
      <c r="E58" s="41">
        <f>IF(카약_설정!F8&gt;0,E56/카약_설정!F8,"")</f>
        <v/>
      </c>
    </row>
    <row r="59" ht="20" customHeight="1">
      <c r="A59" s="42" t="inlineStr">
        <is>
          <t>─── 부피 ───</t>
        </is>
      </c>
    </row>
    <row r="60" ht="20" customHeight="1">
      <c r="A60" s="37" t="inlineStr">
        <is>
          <t>적재 부피 합계 (L)</t>
        </is>
      </c>
      <c r="B60" s="43">
        <f>SUMIF(F4:F53,"선수",E4:E53)</f>
        <v/>
      </c>
      <c r="C60" s="43">
        <f>SUMIF(F4:F53,"선미",E4:E53)</f>
        <v/>
      </c>
      <c r="D60" s="43">
        <f>SUMIF(G4:G53,"선수",E4:E53)</f>
        <v/>
      </c>
      <c r="E60" s="43">
        <f>SUMIF(G4:G53,"선미",E4:E53)</f>
        <v/>
      </c>
    </row>
    <row r="61" ht="20" customHeight="1">
      <c r="A61" s="39" t="inlineStr">
        <is>
          <t>최대 허용 부피 (L)</t>
        </is>
      </c>
      <c r="B61" s="43">
        <f>카약_설정!C6</f>
        <v/>
      </c>
      <c r="C61" s="43">
        <f>카약_설정!C9</f>
        <v/>
      </c>
      <c r="D61" s="43">
        <f>카약_설정!F6</f>
        <v/>
      </c>
      <c r="E61" s="43">
        <f>카약_설정!F9</f>
        <v/>
      </c>
    </row>
    <row r="62" ht="20" customHeight="1">
      <c r="A62" s="37" t="inlineStr">
        <is>
          <t>부피 사용률 (%)</t>
        </is>
      </c>
      <c r="B62" s="41">
        <f>IF(카약_설정!C6&gt;0,B60/카약_설정!C6,"")</f>
        <v/>
      </c>
      <c r="C62" s="41">
        <f>IF(카약_설정!C9&gt;0,C60/카약_설정!C9,"")</f>
        <v/>
      </c>
      <c r="D62" s="41">
        <f>IF(카약_설정!F6&gt;0,D60/카약_설정!F6,"")</f>
        <v/>
      </c>
      <c r="E62" s="41">
        <f>IF(카약_설정!F9&gt;0,E60/카약_설정!F9,"")</f>
        <v/>
      </c>
    </row>
    <row r="64" ht="26" customHeight="1">
      <c r="A64" s="44" t="inlineStr">
        <is>
          <t>카약1 균형</t>
        </is>
      </c>
      <c r="B64" s="45">
        <f>IF(OR(B56+C56=0,B56+C56=""),"(데이터 없음)",IF(AND(B56/(B56+C56)&gt;=0.4,B56/(B56+C56)&lt;=0.6),"✅ 양호",IF(AND(B56/(B56+C56)&gt;=0.3,B56/(B56+C56)&lt;=0.7),"⚠️ 주의","❌ 불균형")))</f>
        <v/>
      </c>
    </row>
    <row r="65" ht="26" customHeight="1">
      <c r="A65" s="44" t="inlineStr">
        <is>
          <t>카약2 균형</t>
        </is>
      </c>
      <c r="D65" s="45">
        <f>IF(OR(D56+E56=0,D56+E56=""),"(데이터 없음)",IF(AND(D56/(D56+E56)&gt;=0.4,D56/(D56+E56)&lt;=0.6),"✅ 양호",IF(AND(D56/(D56+E56)&gt;=0.3,D56/(D56+E56)&lt;=0.7),"⚠️ 주의","❌ 불균형")))</f>
        <v/>
      </c>
    </row>
    <row r="66" ht="20" customHeight="1">
      <c r="A66" s="46" t="inlineStr">
        <is>
          <t>선수:선미 비율 (카약1)</t>
        </is>
      </c>
      <c r="B66" s="30">
        <f>IF(B56+C56=0,"",TEXT(B56/(B56+C56),"0%")&amp;" : "&amp;TEXT(C56/(B56+C56),"0%"))</f>
        <v/>
      </c>
    </row>
    <row r="67" ht="20" customHeight="1">
      <c r="A67" s="46" t="inlineStr">
        <is>
          <t>선수:선미 비율 (카약2)</t>
        </is>
      </c>
      <c r="D67" s="30">
        <f>IF(D56+E56=0,"",TEXT(D56/(D56+E56),"0%")&amp;" : "&amp;TEXT(E56/(D56+E56),"0%"))</f>
        <v/>
      </c>
    </row>
  </sheetData>
  <mergeCells count="7">
    <mergeCell ref="A1:J1"/>
    <mergeCell ref="B64:C64"/>
    <mergeCell ref="A2:J2"/>
    <mergeCell ref="D67:E67"/>
    <mergeCell ref="B66:C66"/>
    <mergeCell ref="A54:J54"/>
    <mergeCell ref="D65:E65"/>
  </mergeCells>
  <conditionalFormatting sqref="A4:J53">
    <cfRule type="expression" priority="1" dxfId="0">
      <formula>AND($F4="",$G4="")</formula>
    </cfRule>
    <cfRule type="expression" priority="2" dxfId="1">
      <formula>$G4="선미"</formula>
    </cfRule>
    <cfRule type="expression" priority="3" dxfId="2">
      <formula>$G4="선수"</formula>
    </cfRule>
    <cfRule type="expression" priority="4" dxfId="3">
      <formula>$F4="선미"</formula>
    </cfRule>
    <cfRule type="expression" priority="5" dxfId="4">
      <formula>$F4="선수"</formula>
    </cfRule>
  </conditionalFormatting>
  <conditionalFormatting sqref="B58">
    <cfRule type="cellIs" priority="6" operator="greaterThan" dxfId="5">
      <formula>1</formula>
    </cfRule>
  </conditionalFormatting>
  <conditionalFormatting sqref="C58">
    <cfRule type="cellIs" priority="7" operator="greaterThan" dxfId="5">
      <formula>1</formula>
    </cfRule>
  </conditionalFormatting>
  <conditionalFormatting sqref="D58">
    <cfRule type="cellIs" priority="8" operator="greaterThan" dxfId="5">
      <formula>1</formula>
    </cfRule>
  </conditionalFormatting>
  <conditionalFormatting sqref="E58">
    <cfRule type="cellIs" priority="9" operator="greaterThan" dxfId="5">
      <formula>1</formula>
    </cfRule>
  </conditionalFormatting>
  <conditionalFormatting sqref="B62">
    <cfRule type="cellIs" priority="10" operator="greaterThan" dxfId="5">
      <formula>1</formula>
    </cfRule>
  </conditionalFormatting>
  <conditionalFormatting sqref="C62">
    <cfRule type="cellIs" priority="11" operator="greaterThan" dxfId="5">
      <formula>1</formula>
    </cfRule>
  </conditionalFormatting>
  <conditionalFormatting sqref="D62">
    <cfRule type="cellIs" priority="12" operator="greaterThan" dxfId="5">
      <formula>1</formula>
    </cfRule>
  </conditionalFormatting>
  <conditionalFormatting sqref="E62">
    <cfRule type="cellIs" priority="13" operator="greaterThan" dxfId="5">
      <formula>1</formula>
    </cfRule>
  </conditionalFormatting>
  <conditionalFormatting sqref="B64:C64">
    <cfRule type="expression" priority="14" dxfId="6">
      <formula>$B64="✅ 양호"</formula>
    </cfRule>
    <cfRule type="expression" priority="15" dxfId="7">
      <formula>$B64="⚠️ 주의"</formula>
    </cfRule>
    <cfRule type="expression" priority="16" dxfId="8">
      <formula>$B64="❌ 불균형"</formula>
    </cfRule>
  </conditionalFormatting>
  <conditionalFormatting sqref="D65:E65">
    <cfRule type="expression" priority="17" dxfId="6">
      <formula>$D65="✅ 양호"</formula>
    </cfRule>
    <cfRule type="expression" priority="18" dxfId="7">
      <formula>$D65="⚠️ 주의"</formula>
    </cfRule>
    <cfRule type="expression" priority="19" dxfId="8">
      <formula>$D65="❌ 불균형"</formula>
    </cfRule>
  </conditionalFormatting>
  <dataValidations count="2">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"드라이백,직접적재,메쉬백"</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1" type="list">
      <formula1>"상,중,하"</formula1>
    </dataValidation>
  </dataValidations>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M22"/>
  <sheetViews>
    <sheetView showGridLines="1" workbookViewId="0">
      <selection activeCell="A1" sqref="A1"/>
    </sheetView>
  </sheetViews>
  <sheetFormatPr baseColWidth="8" defaultRowHeight="15"/>
  <cols>
    <col width="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28" customHeight="1">
      <c r="B1" s="47" t="inlineStr">
        <is>
          <t>🛶  카약 적재 계획 대시보드 (2대)</t>
        </is>
      </c>
    </row>
    <row r="2" ht="28" customHeight="1"/>
    <row r="3" ht="22" customHeight="1">
      <c r="B3" s="48" t="inlineStr">
        <is>
          <t>카약 1</t>
        </is>
      </c>
      <c r="H3" s="49" t="inlineStr">
        <is>
          <t>카약 2</t>
        </is>
      </c>
    </row>
    <row r="4" ht="22" customHeight="1">
      <c r="B4" s="50" t="inlineStr">
        <is>
          <t>기종명</t>
        </is>
      </c>
      <c r="D4" s="50" t="inlineStr">
        <is>
          <t>선수 최대(중량/부피)</t>
        </is>
      </c>
      <c r="F4" s="50" t="inlineStr">
        <is>
          <t>선미 최대(중량/부피)</t>
        </is>
      </c>
      <c r="H4" s="51" t="inlineStr">
        <is>
          <t>기종명</t>
        </is>
      </c>
      <c r="J4" s="51" t="inlineStr">
        <is>
          <t>선수 최대(중량/부피)</t>
        </is>
      </c>
      <c r="L4" s="51" t="inlineStr">
        <is>
          <t>선미 최대(중량/부피)</t>
        </is>
      </c>
    </row>
    <row r="5" ht="22" customHeight="1">
      <c r="B5" s="52">
        <f>카약_설정!C3</f>
        <v/>
      </c>
      <c r="D5" s="52">
        <f>카약_설정!C5&amp;" kg"&amp;" / "&amp;카약_설정!C6&amp;" L"</f>
        <v/>
      </c>
      <c r="F5" s="52">
        <f>카약_설정!C8&amp;" kg"&amp;" / "&amp;카약_설정!C9&amp;" L"</f>
        <v/>
      </c>
      <c r="H5" s="52">
        <f>카약_설정!F3</f>
        <v/>
      </c>
      <c r="J5" s="52">
        <f>카약_설정!F5&amp;" kg"&amp;" / "&amp;카약_설정!F6&amp;" L"</f>
        <v/>
      </c>
      <c r="L5" s="52">
        <f>카약_설정!F8&amp;" kg"&amp;" / "&amp;카약_설정!F9&amp;" L"</f>
        <v/>
      </c>
    </row>
    <row r="7" ht="24" customHeight="1">
      <c r="B7" s="53" t="inlineStr">
        <is>
          <t>중량 &amp; 부피 현황</t>
        </is>
      </c>
    </row>
    <row r="8" ht="20" customHeight="1">
      <c r="B8" s="54" t="inlineStr">
        <is>
          <t>카약1 선수 중량</t>
        </is>
      </c>
      <c r="E8" s="54" t="inlineStr">
        <is>
          <t>카약1 선미 중량</t>
        </is>
      </c>
      <c r="H8" s="54" t="inlineStr">
        <is>
          <t>카약2 선수 중량</t>
        </is>
      </c>
      <c r="K8" s="54" t="inlineStr">
        <is>
          <t>카약2 선미 중량</t>
        </is>
      </c>
    </row>
    <row r="9" ht="26" customHeight="1">
      <c r="B9" s="55">
        <f>적재_계획!B56</f>
        <v/>
      </c>
      <c r="E9" s="56">
        <f>적재_계획!C56</f>
        <v/>
      </c>
      <c r="H9" s="57">
        <f>적재_계획!D56</f>
        <v/>
      </c>
      <c r="K9" s="58">
        <f>적재_계획!E56</f>
        <v/>
      </c>
    </row>
    <row r="10" ht="20" customHeight="1">
      <c r="B10" s="54" t="inlineStr">
        <is>
          <t>카약1 선수 사용률</t>
        </is>
      </c>
      <c r="E10" s="54" t="inlineStr">
        <is>
          <t>카약1 선미 사용률</t>
        </is>
      </c>
      <c r="H10" s="54" t="inlineStr">
        <is>
          <t>카약2 선수 사용률</t>
        </is>
      </c>
      <c r="K10" s="54" t="inlineStr">
        <is>
          <t>카약2 선미 사용률</t>
        </is>
      </c>
    </row>
    <row r="11" ht="26" customHeight="1">
      <c r="B11" s="59">
        <f>적재_계획!B58</f>
        <v/>
      </c>
      <c r="E11" s="59">
        <f>적재_계획!C58</f>
        <v/>
      </c>
      <c r="H11" s="59">
        <f>적재_계획!D58</f>
        <v/>
      </c>
      <c r="K11" s="59">
        <f>적재_계획!E58</f>
        <v/>
      </c>
    </row>
    <row r="13" ht="24" customHeight="1">
      <c r="B13" s="53" t="inlineStr">
        <is>
          <t>균형 판정</t>
        </is>
      </c>
    </row>
    <row r="14" ht="40" customHeight="1">
      <c r="B14" s="60">
        <f>적재_계획!B64</f>
        <v/>
      </c>
      <c r="G14" s="60">
        <f>적재_계획!D65</f>
        <v/>
      </c>
    </row>
    <row r="16" ht="24" customHeight="1">
      <c r="B16" s="53" t="inlineStr">
        <is>
          <t>총 적재 현황</t>
        </is>
      </c>
    </row>
    <row r="17" ht="20" customHeight="1">
      <c r="B17" s="54" t="inlineStr">
        <is>
          <t>카약1 장비수</t>
        </is>
      </c>
      <c r="E17" s="54" t="inlineStr">
        <is>
          <t>카약1 총중량</t>
        </is>
      </c>
      <c r="H17" s="54" t="inlineStr">
        <is>
          <t>카약2 장비수</t>
        </is>
      </c>
      <c r="K17" s="54" t="inlineStr">
        <is>
          <t>카약2 총중량</t>
        </is>
      </c>
    </row>
    <row r="18" ht="26" customHeight="1">
      <c r="B18" s="61">
        <f>COUNTIF(적재_계획!F4:F53,"선수")+COUNTIF(적재_계획!F4:F53,"선미")</f>
        <v/>
      </c>
      <c r="E18" s="62">
        <f>(적재_계획!B56+적재_계획!C56)</f>
        <v/>
      </c>
      <c r="H18" s="61">
        <f>COUNTIF(적재_계획!G4:G53,"선수")+COUNTIF(적재_계획!G4:G53,"선미")</f>
        <v/>
      </c>
      <c r="K18" s="62">
        <f>(적재_계획!D56+적재_계획!E56)</f>
        <v/>
      </c>
    </row>
    <row r="20" customHeight="1">
      <c r="B20" t="inlineStr">
        <is>
          <t>카약1선수</t>
        </is>
      </c>
      <c r="C20" t="inlineStr">
        <is>
          <t>카약1선미</t>
        </is>
      </c>
      <c r="D20" t="inlineStr">
        <is>
          <t>카약2선수</t>
        </is>
      </c>
      <c r="E20" t="inlineStr">
        <is>
          <t>카약2선미</t>
        </is>
      </c>
    </row>
    <row r="21">
      <c r="A21" t="inlineStr">
        <is>
          <t>적재중량(kg)</t>
        </is>
      </c>
      <c r="B21">
        <f>적재_계획!B56</f>
        <v/>
      </c>
      <c r="C21">
        <f>적재_계획!C56</f>
        <v/>
      </c>
      <c r="D21">
        <f>적재_계획!D56</f>
        <v/>
      </c>
      <c r="E21">
        <f>적재_계획!E56</f>
        <v/>
      </c>
    </row>
    <row r="22">
      <c r="A22" t="inlineStr">
        <is>
          <t>허용중량(kg)</t>
        </is>
      </c>
      <c r="B22">
        <f>카약_설정!C5</f>
        <v/>
      </c>
      <c r="C22">
        <f>카약_설정!C8</f>
        <v/>
      </c>
      <c r="D22">
        <f>카약_설정!F5</f>
        <v/>
      </c>
      <c r="E22">
        <f>카약_설정!F8</f>
        <v/>
      </c>
    </row>
  </sheetData>
  <mergeCells count="44">
    <mergeCell ref="F4:G4"/>
    <mergeCell ref="B11:D11"/>
    <mergeCell ref="E10:G10"/>
    <mergeCell ref="G14:M14"/>
    <mergeCell ref="J5:K5"/>
    <mergeCell ref="B8:D8"/>
    <mergeCell ref="B17:D17"/>
    <mergeCell ref="E9:G9"/>
    <mergeCell ref="H4:I4"/>
    <mergeCell ref="B13:M13"/>
    <mergeCell ref="H17:J17"/>
    <mergeCell ref="H11:J11"/>
    <mergeCell ref="B10:D10"/>
    <mergeCell ref="K8:M8"/>
    <mergeCell ref="E11:G11"/>
    <mergeCell ref="F5:G5"/>
    <mergeCell ref="B9:D9"/>
    <mergeCell ref="L5:M5"/>
    <mergeCell ref="B14:F14"/>
    <mergeCell ref="K17:M17"/>
    <mergeCell ref="H3:M3"/>
    <mergeCell ref="J4:K4"/>
    <mergeCell ref="L4:M4"/>
    <mergeCell ref="K10:M10"/>
    <mergeCell ref="H18:J18"/>
    <mergeCell ref="H8:J8"/>
    <mergeCell ref="E18:G18"/>
    <mergeCell ref="D4:E4"/>
    <mergeCell ref="K18:M18"/>
    <mergeCell ref="B3:G3"/>
    <mergeCell ref="B16:M16"/>
    <mergeCell ref="H10:J10"/>
    <mergeCell ref="B7:M7"/>
    <mergeCell ref="K9:M9"/>
    <mergeCell ref="B5:C5"/>
    <mergeCell ref="B1:M2"/>
    <mergeCell ref="D5:E5"/>
    <mergeCell ref="E8:G8"/>
    <mergeCell ref="B18:D18"/>
    <mergeCell ref="E17:G17"/>
    <mergeCell ref="H5:I5"/>
    <mergeCell ref="H9:J9"/>
    <mergeCell ref="B4:C4"/>
    <mergeCell ref="K11:M11"/>
  </mergeCells>
  <conditionalFormatting sqref="B11">
    <cfRule type="cellIs" priority="1" operator="greaterThan" dxfId="8">
      <formula>1</formula>
    </cfRule>
    <cfRule type="cellIs" priority="2" operator="between" dxfId="7">
      <formula>0.9</formula>
      <formula>1</formula>
    </cfRule>
    <cfRule type="cellIs" priority="3" operator="lessThan" dxfId="6">
      <formula>0.9</formula>
    </cfRule>
  </conditionalFormatting>
  <conditionalFormatting sqref="E11">
    <cfRule type="cellIs" priority="4" operator="greaterThan" dxfId="8">
      <formula>1</formula>
    </cfRule>
    <cfRule type="cellIs" priority="5" operator="between" dxfId="7">
      <formula>0.9</formula>
      <formula>1</formula>
    </cfRule>
    <cfRule type="cellIs" priority="6" operator="lessThan" dxfId="6">
      <formula>0.9</formula>
    </cfRule>
  </conditionalFormatting>
  <conditionalFormatting sqref="H11">
    <cfRule type="cellIs" priority="7" operator="greaterThan" dxfId="8">
      <formula>1</formula>
    </cfRule>
    <cfRule type="cellIs" priority="8" operator="between" dxfId="7">
      <formula>0.9</formula>
      <formula>1</formula>
    </cfRule>
    <cfRule type="cellIs" priority="9" operator="lessThan" dxfId="6">
      <formula>0.9</formula>
    </cfRule>
  </conditionalFormatting>
  <conditionalFormatting sqref="K11">
    <cfRule type="cellIs" priority="10" operator="greaterThan" dxfId="8">
      <formula>1</formula>
    </cfRule>
    <cfRule type="cellIs" priority="11" operator="between" dxfId="7">
      <formula>0.9</formula>
      <formula>1</formula>
    </cfRule>
    <cfRule type="cellIs" priority="12" operator="lessThan" dxfId="6">
      <formula>0.9</formula>
    </cfRule>
  </conditionalFormatting>
  <conditionalFormatting sqref="B14:F14">
    <cfRule type="expression" priority="13" dxfId="6">
      <formula>$B14="✅ 양호"</formula>
    </cfRule>
    <cfRule type="expression" priority="14" dxfId="7">
      <formula>$B14="⚠️ 주의"</formula>
    </cfRule>
    <cfRule type="expression" priority="15" dxfId="8">
      <formula>$B14="❌ 불균형"</formula>
    </cfRule>
  </conditionalFormatting>
  <conditionalFormatting sqref="G14:M14">
    <cfRule type="expression" priority="16" dxfId="6">
      <formula>$G14="✅ 양호"</formula>
    </cfRule>
    <cfRule type="expression" priority="17" dxfId="7">
      <formula>$G14="⚠️ 주의"</formula>
    </cfRule>
    <cfRule type="expression" priority="18" dxfId="8">
      <formula>$G14="❌ 불균형"</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2026-03-24T11:42:57Z</dcterms:created>
  <dcterms:modified xsi:type="dcterms:W3CDTF">2026-03-24T11:42:57Z</dcterms:modified>
</cp:coreProperties>
</file>